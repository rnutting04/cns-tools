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Excel_Word Files\Dana McGann\GOR\"/>
    </mc:Choice>
  </mc:AlternateContent>
  <xr:revisionPtr revIDLastSave="0" documentId="13_ncr:1_{F51F2327-AF42-430A-811F-44FDA683F012}" xr6:coauthVersionLast="47" xr6:coauthVersionMax="47" xr10:uidLastSave="{00000000-0000-0000-0000-000000000000}"/>
  <bookViews>
    <workbookView xWindow="35745" yWindow="480" windowWidth="16635" windowHeight="12840" activeTab="2" xr2:uid="{00000000-000D-0000-FFFF-FFFF00000000}"/>
  </bookViews>
  <sheets>
    <sheet name="Chart1" sheetId="4" r:id="rId1"/>
    <sheet name="Totals" sheetId="3" state="hidden" r:id="rId2"/>
    <sheet name="2025" sheetId="1" r:id="rId3"/>
    <sheet name="Reserve" sheetId="5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5" l="1"/>
  <c r="I9" i="5" s="1"/>
  <c r="H109" i="1" s="1"/>
  <c r="F25" i="1" l="1"/>
  <c r="F114" i="1" l="1"/>
  <c r="F113" i="1"/>
  <c r="F111" i="1"/>
  <c r="F110" i="1"/>
  <c r="F107" i="1"/>
  <c r="F127" i="1"/>
  <c r="F125" i="1"/>
  <c r="F124" i="1"/>
  <c r="F122" i="1"/>
  <c r="F121" i="1"/>
  <c r="F120" i="1"/>
  <c r="F119" i="1"/>
  <c r="F118" i="1"/>
  <c r="F116" i="1"/>
  <c r="F115" i="1"/>
  <c r="F6" i="1"/>
  <c r="F4" i="1"/>
  <c r="F37" i="5"/>
  <c r="I37" i="5" s="1"/>
  <c r="H127" i="1" s="1"/>
  <c r="F35" i="5"/>
  <c r="I35" i="5" s="1"/>
  <c r="H125" i="1" s="1"/>
  <c r="F33" i="5"/>
  <c r="I33" i="5" s="1"/>
  <c r="H124" i="1" s="1"/>
  <c r="F31" i="5"/>
  <c r="I31" i="5" s="1"/>
  <c r="H122" i="1" s="1"/>
  <c r="F29" i="5"/>
  <c r="I29" i="5" s="1"/>
  <c r="H121" i="1" s="1"/>
  <c r="F27" i="5"/>
  <c r="I27" i="5" s="1"/>
  <c r="H120" i="1" s="1"/>
  <c r="F25" i="5"/>
  <c r="I25" i="5" s="1"/>
  <c r="H119" i="1" s="1"/>
  <c r="F23" i="5"/>
  <c r="I23" i="5" s="1"/>
  <c r="H118" i="1" s="1"/>
  <c r="F21" i="5"/>
  <c r="I21" i="5" s="1"/>
  <c r="H116" i="1" s="1"/>
  <c r="F19" i="5"/>
  <c r="I19" i="5" s="1"/>
  <c r="H115" i="1" s="1"/>
  <c r="F17" i="5"/>
  <c r="I17" i="5" s="1"/>
  <c r="F15" i="5"/>
  <c r="I15" i="5" s="1"/>
  <c r="H113" i="1" s="1"/>
  <c r="F5" i="5"/>
  <c r="I5" i="5" s="1"/>
  <c r="H106" i="1" s="1"/>
  <c r="F7" i="5"/>
  <c r="I7" i="5" s="1"/>
  <c r="H107" i="1" s="1"/>
  <c r="F11" i="5"/>
  <c r="I11" i="5" s="1"/>
  <c r="H110" i="1" s="1"/>
  <c r="F13" i="5"/>
  <c r="I13" i="5" s="1"/>
  <c r="H111" i="1" s="1"/>
  <c r="H114" i="1" l="1"/>
  <c r="I40" i="5"/>
  <c r="C6" i="3"/>
  <c r="F13" i="1" l="1"/>
  <c r="F21" i="1" s="1"/>
  <c r="F106" i="1"/>
  <c r="F99" i="1"/>
  <c r="F87" i="1"/>
  <c r="F71" i="1"/>
  <c r="F48" i="1"/>
  <c r="F29" i="1"/>
  <c r="H99" i="1"/>
  <c r="C4" i="3" s="1"/>
  <c r="H48" i="1"/>
  <c r="C1" i="3" s="1"/>
  <c r="H87" i="1"/>
  <c r="C3" i="3" s="1"/>
  <c r="H71" i="1"/>
  <c r="C2" i="3" s="1"/>
  <c r="F129" i="1" l="1"/>
  <c r="F32" i="1"/>
  <c r="H101" i="1"/>
  <c r="H21" i="1" s="1"/>
  <c r="H13" i="1" s="1"/>
  <c r="F101" i="1"/>
  <c r="F131" i="1" l="1"/>
  <c r="H129" i="1" l="1"/>
  <c r="H29" i="1" s="1"/>
  <c r="H25" i="1" s="1"/>
  <c r="C5" i="3" l="1"/>
  <c r="C10" i="3" s="1"/>
  <c r="D3" i="3" s="1"/>
  <c r="H131" i="1"/>
  <c r="D2" i="3" l="1"/>
  <c r="D1" i="3"/>
  <c r="D5" i="3"/>
  <c r="D4" i="3"/>
  <c r="D6" i="3"/>
  <c r="H6" i="1"/>
  <c r="H4" i="1" s="1"/>
  <c r="H32" i="1"/>
  <c r="D10" i="3" l="1"/>
</calcChain>
</file>

<file path=xl/sharedStrings.xml><?xml version="1.0" encoding="utf-8"?>
<sst xmlns="http://schemas.openxmlformats.org/spreadsheetml/2006/main" count="196" uniqueCount="137">
  <si>
    <t>Assessment For Year</t>
  </si>
  <si>
    <t>OPERATING</t>
  </si>
  <si>
    <t xml:space="preserve">   Assessments</t>
  </si>
  <si>
    <t>a</t>
  </si>
  <si>
    <t xml:space="preserve">   Interest</t>
  </si>
  <si>
    <t xml:space="preserve">   Special Asmnts</t>
  </si>
  <si>
    <t xml:space="preserve">   Other Income</t>
  </si>
  <si>
    <t xml:space="preserve">   TOTAL OPERATING</t>
  </si>
  <si>
    <t>RESERVES</t>
  </si>
  <si>
    <t>b</t>
  </si>
  <si>
    <t xml:space="preserve">   TOTAL RESERVES</t>
  </si>
  <si>
    <t>TOTAL INCOME</t>
  </si>
  <si>
    <t xml:space="preserve">   Attorney</t>
  </si>
  <si>
    <t xml:space="preserve">   Bank Charges</t>
  </si>
  <si>
    <t xml:space="preserve">   CPA</t>
  </si>
  <si>
    <t xml:space="preserve">   Management Fees</t>
  </si>
  <si>
    <t xml:space="preserve">   Postage/Printing</t>
  </si>
  <si>
    <t>MAINTENANCE</t>
  </si>
  <si>
    <t xml:space="preserve">   Building Repairs</t>
  </si>
  <si>
    <t xml:space="preserve">   Electrical Repair</t>
  </si>
  <si>
    <t xml:space="preserve">   Fire Protection</t>
  </si>
  <si>
    <t xml:space="preserve">   Ground Maint.</t>
  </si>
  <si>
    <t xml:space="preserve">   Irrigation System</t>
  </si>
  <si>
    <t xml:space="preserve">   Janitorial</t>
  </si>
  <si>
    <t xml:space="preserve">   Lake Maintenance</t>
  </si>
  <si>
    <t xml:space="preserve">   Pool Maintenance</t>
  </si>
  <si>
    <t xml:space="preserve">   Tree Trimming</t>
  </si>
  <si>
    <t>OTHER EXPENSES</t>
  </si>
  <si>
    <t xml:space="preserve">   Fees to Division</t>
  </si>
  <si>
    <t xml:space="preserve">   Income Taxes</t>
  </si>
  <si>
    <t xml:space="preserve">   Insurance</t>
  </si>
  <si>
    <t xml:space="preserve">   TOTAL OTHER</t>
  </si>
  <si>
    <t>UTILITIES</t>
  </si>
  <si>
    <t xml:space="preserve">   Cable TV</t>
  </si>
  <si>
    <t xml:space="preserve">   Electricity</t>
  </si>
  <si>
    <t xml:space="preserve">   Telephone</t>
  </si>
  <si>
    <t xml:space="preserve">   TOTAL UTILITIES</t>
  </si>
  <si>
    <t>TOTAL OPERATING</t>
  </si>
  <si>
    <t>TOTAL RESERVES</t>
  </si>
  <si>
    <t xml:space="preserve"> </t>
  </si>
  <si>
    <t>Assessment</t>
  </si>
  <si>
    <t>INCOME</t>
  </si>
  <si>
    <t xml:space="preserve">ADMINISTRATION  </t>
  </si>
  <si>
    <t xml:space="preserve">   TOTAL ADMINISTRATION</t>
  </si>
  <si>
    <t xml:space="preserve">   TOTAL MAINTENANCE</t>
  </si>
  <si>
    <t>TOTAL OPERATING/RESERVES</t>
  </si>
  <si>
    <t>EXPENSES</t>
  </si>
  <si>
    <t xml:space="preserve">   Labels/Supplies/Misc</t>
  </si>
  <si>
    <t xml:space="preserve">   Supplies</t>
  </si>
  <si>
    <t>Per Unit Per Month</t>
  </si>
  <si>
    <t xml:space="preserve">   Collections/Bad Debt</t>
  </si>
  <si>
    <t xml:space="preserve">   Annual Corporate Report</t>
  </si>
  <si>
    <t xml:space="preserve">   Pool/Spa Permit</t>
  </si>
  <si>
    <t xml:space="preserve">   Walkways/Sidewalks</t>
  </si>
  <si>
    <t>Estimated</t>
  </si>
  <si>
    <t>Total</t>
  </si>
  <si>
    <t>Remain</t>
  </si>
  <si>
    <t>Balance</t>
  </si>
  <si>
    <t>Annual</t>
  </si>
  <si>
    <t>Life</t>
  </si>
  <si>
    <t>Year</t>
  </si>
  <si>
    <t>Total Cost</t>
  </si>
  <si>
    <t>Needed</t>
  </si>
  <si>
    <t>Funding</t>
  </si>
  <si>
    <t>Formula:</t>
  </si>
  <si>
    <t>Many factors can affect future costs.  This reserve projection is based on information available</t>
  </si>
  <si>
    <t>at this time.  Information has been obtained from contractors and costs associated with similar</t>
  </si>
  <si>
    <t>replacements.</t>
  </si>
  <si>
    <t>ADMIN</t>
  </si>
  <si>
    <t>MAINT</t>
  </si>
  <si>
    <t>OTHER</t>
  </si>
  <si>
    <t>RESERVE</t>
  </si>
  <si>
    <t>GROUNDS</t>
  </si>
  <si>
    <t>Annual Funding = Balance Needed divided by the Remain Life</t>
  </si>
  <si>
    <t>Balance Needed = Estimated Total Cost less Current Balance</t>
  </si>
  <si>
    <t>Plumbing</t>
  </si>
  <si>
    <t>2032</t>
  </si>
  <si>
    <t>2025</t>
  </si>
  <si>
    <t>Current</t>
  </si>
  <si>
    <t xml:space="preserve">   Application Fees</t>
  </si>
  <si>
    <t xml:space="preserve">   Plumbing</t>
  </si>
  <si>
    <t xml:space="preserve">   Pest Control</t>
  </si>
  <si>
    <t xml:space="preserve">   Rec. Equip</t>
  </si>
  <si>
    <t xml:space="preserve">   Background Checks</t>
  </si>
  <si>
    <t xml:space="preserve">   Water/Sewer</t>
  </si>
  <si>
    <t xml:space="preserve">   Trash</t>
  </si>
  <si>
    <t xml:space="preserve">   Streetlight Repair</t>
  </si>
  <si>
    <t xml:space="preserve">   Electricity - Street Light</t>
  </si>
  <si>
    <t xml:space="preserve">   Rental Unit Expense</t>
  </si>
  <si>
    <t xml:space="preserve">   Orientation</t>
  </si>
  <si>
    <t xml:space="preserve">   Payroll - Office</t>
  </si>
  <si>
    <t xml:space="preserve">   Payroll - Maintenance</t>
  </si>
  <si>
    <t>Clubhouse</t>
  </si>
  <si>
    <t>Pool Equipment</t>
  </si>
  <si>
    <t>Road - Section 1</t>
  </si>
  <si>
    <t xml:space="preserve">Road - Section 2 </t>
  </si>
  <si>
    <t>Building</t>
  </si>
  <si>
    <t>Common Elements</t>
  </si>
  <si>
    <t>Roof</t>
  </si>
  <si>
    <t>Mansard Shingles</t>
  </si>
  <si>
    <t>Vehicle</t>
  </si>
  <si>
    <t>Lake</t>
  </si>
  <si>
    <t>Perimeter</t>
  </si>
  <si>
    <t>Concrete Drives/Curbs</t>
  </si>
  <si>
    <t>Special Projects</t>
  </si>
  <si>
    <t>Tree Management</t>
  </si>
  <si>
    <t>Interest</t>
  </si>
  <si>
    <t>2034</t>
  </si>
  <si>
    <t>2031</t>
  </si>
  <si>
    <t>2029</t>
  </si>
  <si>
    <t>2027</t>
  </si>
  <si>
    <t>Road - Section 2</t>
  </si>
  <si>
    <t>Lakes</t>
  </si>
  <si>
    <t xml:space="preserve"> ((a+b)/195 units)</t>
  </si>
  <si>
    <t xml:space="preserve">   Misc. Landscaping</t>
  </si>
  <si>
    <t xml:space="preserve">   Social Functions</t>
  </si>
  <si>
    <t>2025 BUDGET</t>
  </si>
  <si>
    <t>Roof Special Assessment</t>
  </si>
  <si>
    <t>Tree Management Special Assessment</t>
  </si>
  <si>
    <t>Concrete Drives/Curbs Special Assessment</t>
  </si>
  <si>
    <t>Road- Section 2 Special Assessment</t>
  </si>
  <si>
    <t>Pool Equipment Special Assessment</t>
  </si>
  <si>
    <t>2025 Projected</t>
  </si>
  <si>
    <t>2026 BUDGET</t>
  </si>
  <si>
    <t>Pool Relining</t>
  </si>
  <si>
    <t>2026</t>
  </si>
  <si>
    <t xml:space="preserve">   Filing &amp; Licenses</t>
  </si>
  <si>
    <r>
      <rPr>
        <b/>
        <sz val="10"/>
        <rFont val="Arial"/>
        <family val="2"/>
      </rPr>
      <t xml:space="preserve">    </t>
    </r>
    <r>
      <rPr>
        <sz val="10"/>
        <rFont val="Arial"/>
        <family val="2"/>
      </rPr>
      <t>Assessments</t>
    </r>
  </si>
  <si>
    <t xml:space="preserve">    Clubhouse Rental Income</t>
  </si>
  <si>
    <t xml:space="preserve">   Collection Income</t>
  </si>
  <si>
    <t xml:space="preserve">   Oper Interest Income</t>
  </si>
  <si>
    <t xml:space="preserve">    Unit Rental Income </t>
  </si>
  <si>
    <t>6810a</t>
  </si>
  <si>
    <t>6810b</t>
  </si>
  <si>
    <t>Painting/Building elements</t>
  </si>
  <si>
    <t xml:space="preserve">Special Projects/ Termite Remediation </t>
  </si>
  <si>
    <t>(2024 Rolled Over)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</si>
</sst>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Courier"/>
    </font>
    <font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Courier"/>
      <family val="3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39" fontId="0" fillId="0" borderId="0"/>
    <xf numFmtId="0" fontId="6" fillId="0" borderId="0"/>
  </cellStyleXfs>
  <cellXfs count="33">
    <xf numFmtId="39" fontId="0" fillId="0" borderId="0" xfId="0"/>
    <xf numFmtId="39" fontId="2" fillId="0" borderId="0" xfId="0" applyFont="1"/>
    <xf numFmtId="39" fontId="2" fillId="0" borderId="0" xfId="0" applyFont="1" applyAlignment="1">
      <alignment horizontal="center"/>
    </xf>
    <xf numFmtId="39" fontId="2" fillId="0" borderId="0" xfId="0" applyFont="1" applyAlignment="1">
      <alignment horizontal="left"/>
    </xf>
    <xf numFmtId="39" fontId="3" fillId="0" borderId="0" xfId="0" applyFont="1" applyAlignment="1">
      <alignment horizontal="left"/>
    </xf>
    <xf numFmtId="39" fontId="2" fillId="0" borderId="0" xfId="0" applyFont="1" applyAlignment="1">
      <alignment horizontal="right"/>
    </xf>
    <xf numFmtId="39" fontId="5" fillId="0" borderId="0" xfId="0" applyFont="1"/>
    <xf numFmtId="39" fontId="5" fillId="0" borderId="0" xfId="0" applyFont="1" applyAlignment="1">
      <alignment horizontal="right"/>
    </xf>
    <xf numFmtId="39" fontId="1" fillId="0" borderId="0" xfId="0" applyFont="1" applyAlignment="1">
      <alignment horizontal="right"/>
    </xf>
    <xf numFmtId="39" fontId="1" fillId="0" borderId="0" xfId="0" applyFont="1"/>
    <xf numFmtId="39" fontId="1" fillId="0" borderId="0" xfId="0" applyFont="1" applyAlignment="1">
      <alignment horizontal="center"/>
    </xf>
    <xf numFmtId="39" fontId="1" fillId="0" borderId="0" xfId="0" applyFont="1" applyAlignment="1">
      <alignment horizontal="left"/>
    </xf>
    <xf numFmtId="37" fontId="1" fillId="0" borderId="0" xfId="0" applyNumberFormat="1" applyFont="1"/>
    <xf numFmtId="0" fontId="6" fillId="0" borderId="0" xfId="1"/>
    <xf numFmtId="9" fontId="6" fillId="0" borderId="0" xfId="1" applyNumberFormat="1"/>
    <xf numFmtId="39" fontId="6" fillId="0" borderId="0" xfId="1" applyNumberFormat="1"/>
    <xf numFmtId="37" fontId="2" fillId="0" borderId="0" xfId="0" applyNumberFormat="1" applyFont="1"/>
    <xf numFmtId="0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" fontId="1" fillId="0" borderId="0" xfId="0" applyNumberFormat="1" applyFont="1"/>
    <xf numFmtId="49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left"/>
    </xf>
    <xf numFmtId="3" fontId="1" fillId="0" borderId="0" xfId="0" applyNumberFormat="1" applyFont="1"/>
    <xf numFmtId="37" fontId="2" fillId="0" borderId="0" xfId="0" applyNumberFormat="1" applyFont="1" applyAlignment="1">
      <alignment horizontal="left"/>
    </xf>
    <xf numFmtId="37" fontId="1" fillId="0" borderId="0" xfId="0" applyNumberFormat="1" applyFont="1" applyAlignment="1">
      <alignment horizontal="left"/>
    </xf>
    <xf numFmtId="37" fontId="1" fillId="0" borderId="0" xfId="0" applyNumberFormat="1" applyFont="1" applyAlignment="1">
      <alignment horizontal="right"/>
    </xf>
    <xf numFmtId="37" fontId="2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left"/>
    </xf>
    <xf numFmtId="39" fontId="7" fillId="0" borderId="0" xfId="0" applyFont="1" applyAlignment="1">
      <alignment horizontal="left"/>
    </xf>
    <xf numFmtId="0" fontId="7" fillId="0" borderId="0" xfId="0" applyNumberFormat="1" applyFont="1" applyAlignment="1">
      <alignment horizontal="right"/>
    </xf>
    <xf numFmtId="0" fontId="7" fillId="0" borderId="0" xfId="0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21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GLEN OAKS RIDGE</a:t>
            </a: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215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2026 OPERATING BUDGET </a:t>
            </a: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January 1, 2026 - December 31, 2026</a:t>
            </a:r>
          </a:p>
        </c:rich>
      </c:tx>
      <c:layout>
        <c:manualLayout>
          <c:xMode val="edge"/>
          <c:yMode val="edge"/>
          <c:x val="0.11562316846316541"/>
          <c:y val="6.5347132241381209E-2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</c:title>
    <c:autoTitleDeleted val="0"/>
    <c:view3D>
      <c:rotX val="4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5045592705167174"/>
          <c:y val="0.4057017543859649"/>
          <c:w val="0.70719351570415401"/>
          <c:h val="0.49473684210526314"/>
        </c:manualLayout>
      </c:layout>
      <c:pie3DChart>
        <c:varyColors val="1"/>
        <c:ser>
          <c:idx val="0"/>
          <c:order val="0"/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A057-4886-A9EB-CE83A4BF1E11}"/>
              </c:ext>
            </c:extLst>
          </c:dPt>
          <c:dPt>
            <c:idx val="1"/>
            <c:bubble3D val="0"/>
            <c:spPr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057-4886-A9EB-CE83A4BF1E11}"/>
              </c:ext>
            </c:extLst>
          </c:dPt>
          <c:dPt>
            <c:idx val="2"/>
            <c:bubble3D val="0"/>
            <c:spPr>
              <a:blipFill dpi="0" rotWithShape="0">
                <a:blip xmlns:r="http://schemas.openxmlformats.org/officeDocument/2006/relationships" r:embed="rId2"/>
                <a:srcRect/>
                <a:tile tx="0" ty="0" sx="100000" sy="100000" flip="none" algn="tl"/>
              </a:blip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057-4886-A9EB-CE83A4BF1E11}"/>
              </c:ext>
            </c:extLst>
          </c:dPt>
          <c:dPt>
            <c:idx val="3"/>
            <c:bubble3D val="0"/>
            <c:spPr>
              <a:blipFill dpi="0" rotWithShape="0">
                <a:blip xmlns:r="http://schemas.openxmlformats.org/officeDocument/2006/relationships" r:embed="rId3"/>
                <a:srcRect/>
                <a:tile tx="0" ty="0" sx="100000" sy="100000" flip="none" algn="tl"/>
              </a:blip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A057-4886-A9EB-CE83A4BF1E11}"/>
              </c:ext>
            </c:extLst>
          </c:dPt>
          <c:dPt>
            <c:idx val="4"/>
            <c:bubble3D val="0"/>
            <c:spPr>
              <a:blipFill dpi="0" rotWithShape="0">
                <a:blip xmlns:r="http://schemas.openxmlformats.org/officeDocument/2006/relationships" r:embed="rId4"/>
                <a:srcRect/>
                <a:tile tx="0" ty="0" sx="100000" sy="100000" flip="none" algn="tl"/>
              </a:blip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A057-4886-A9EB-CE83A4BF1E11}"/>
              </c:ext>
            </c:extLst>
          </c:dPt>
          <c:dPt>
            <c:idx val="5"/>
            <c:bubble3D val="0"/>
            <c:spPr>
              <a:blipFill dpi="0" rotWithShape="0">
                <a:blip xmlns:r="http://schemas.openxmlformats.org/officeDocument/2006/relationships" r:embed="rId5"/>
                <a:srcRect/>
                <a:tile tx="0" ty="0" sx="100000" sy="100000" flip="none" algn="tl"/>
              </a:blip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A057-4886-A9EB-CE83A4BF1E1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ADMINISTRATION
3%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057-4886-A9EB-CE83A4BF1E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MAINTENANCE
23%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057-4886-A9EB-CE83A4BF1E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OTHER
25%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057-4886-A9EB-CE83A4BF1E11}"/>
                </c:ext>
              </c:extLst>
            </c:dLbl>
            <c:dLbl>
              <c:idx val="3"/>
              <c:layout>
                <c:manualLayout>
                  <c:x val="1.1175321076370308E-2"/>
                  <c:y val="-9.975123758264394E-2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UTILITIES
27%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057-4886-A9EB-CE83A4BF1E1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RESERVE
12%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A057-4886-A9EB-CE83A4BF1E11}"/>
                </c:ext>
              </c:extLst>
            </c:dLbl>
            <c:dLbl>
              <c:idx val="5"/>
              <c:layout>
                <c:manualLayout>
                  <c:x val="2.2980053767550902E-2"/>
                  <c:y val="-2.6877969367753727E-3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GROUNDS
10%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A057-4886-A9EB-CE83A4BF1E11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[1]Totals!$D$1:$D$6</c:f>
              <c:numCache>
                <c:formatCode>General</c:formatCode>
                <c:ptCount val="6"/>
                <c:pt idx="0">
                  <c:v>5.0145313038766563E-2</c:v>
                </c:pt>
                <c:pt idx="1">
                  <c:v>7.4873158957686814E-2</c:v>
                </c:pt>
                <c:pt idx="2">
                  <c:v>0.2154754281398289</c:v>
                </c:pt>
                <c:pt idx="3">
                  <c:v>0.34025745858167905</c:v>
                </c:pt>
                <c:pt idx="4">
                  <c:v>0.13534965436842192</c:v>
                </c:pt>
                <c:pt idx="5">
                  <c:v>0.18389898691361672</c:v>
                </c:pt>
              </c:numCache>
            </c:numRef>
          </c:cat>
          <c:val>
            <c:numRef>
              <c:f>[1]Totals!$C$1:$C$6</c:f>
              <c:numCache>
                <c:formatCode>General</c:formatCode>
                <c:ptCount val="6"/>
                <c:pt idx="0">
                  <c:v>30540</c:v>
                </c:pt>
                <c:pt idx="1">
                  <c:v>45600</c:v>
                </c:pt>
                <c:pt idx="2">
                  <c:v>131231</c:v>
                </c:pt>
                <c:pt idx="3">
                  <c:v>207227</c:v>
                </c:pt>
                <c:pt idx="4">
                  <c:v>82432</c:v>
                </c:pt>
                <c:pt idx="5">
                  <c:v>112000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057-4886-A9EB-CE83A4BF1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workbookViewId="0"/>
  </sheetViews>
  <pageMargins left="0.25" right="0.25" top="0.75" bottom="0.75" header="0.3" footer="0.3"/>
  <pageSetup orientation="portrait" r:id="rId1"/>
  <headerFooter alignWithMargins="0">
    <oddFooter xml:space="preserve">&amp;RC&amp;8+&amp;10S COMMUNITY  MANAGEMENT SERVICES, INC.
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7210425" cy="8582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5911F6-276C-4C60-8C23-4F7F737BDC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_Word%20Files/Chris%20Brown/MCS/MCS%202021%20Budget%20Draft%203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Totals"/>
      <sheetName val="2020"/>
      <sheetName val="Reserve"/>
    </sheetNames>
    <sheetDataSet>
      <sheetData sheetId="0" refreshError="1"/>
      <sheetData sheetId="1">
        <row r="1">
          <cell r="C1">
            <v>30540</v>
          </cell>
          <cell r="D1">
            <v>5.0145313038766563E-2</v>
          </cell>
        </row>
        <row r="2">
          <cell r="C2">
            <v>45600</v>
          </cell>
          <cell r="D2">
            <v>7.4873158957686814E-2</v>
          </cell>
        </row>
        <row r="3">
          <cell r="C3">
            <v>131231</v>
          </cell>
          <cell r="D3">
            <v>0.2154754281398289</v>
          </cell>
        </row>
        <row r="4">
          <cell r="C4">
            <v>207227</v>
          </cell>
          <cell r="D4">
            <v>0.34025745858167905</v>
          </cell>
        </row>
        <row r="5">
          <cell r="C5">
            <v>82432</v>
          </cell>
          <cell r="D5">
            <v>0.13534965436842192</v>
          </cell>
        </row>
        <row r="6">
          <cell r="C6">
            <v>112000</v>
          </cell>
          <cell r="D6">
            <v>0.18389898691361672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C9" sqref="C9"/>
    </sheetView>
  </sheetViews>
  <sheetFormatPr defaultColWidth="8.75" defaultRowHeight="12.75" x14ac:dyDescent="0.2"/>
  <cols>
    <col min="1" max="2" width="8.75" style="13"/>
    <col min="3" max="3" width="10.75" style="13" bestFit="1" customWidth="1"/>
    <col min="4" max="4" width="21.625" style="14" customWidth="1"/>
    <col min="5" max="6" width="21.625" style="13" customWidth="1"/>
    <col min="7" max="259" width="8.75" style="13"/>
    <col min="260" max="262" width="21.625" style="13" customWidth="1"/>
    <col min="263" max="515" width="8.75" style="13"/>
    <col min="516" max="518" width="21.625" style="13" customWidth="1"/>
    <col min="519" max="771" width="8.75" style="13"/>
    <col min="772" max="774" width="21.625" style="13" customWidth="1"/>
    <col min="775" max="1027" width="8.75" style="13"/>
    <col min="1028" max="1030" width="21.625" style="13" customWidth="1"/>
    <col min="1031" max="1283" width="8.75" style="13"/>
    <col min="1284" max="1286" width="21.625" style="13" customWidth="1"/>
    <col min="1287" max="1539" width="8.75" style="13"/>
    <col min="1540" max="1542" width="21.625" style="13" customWidth="1"/>
    <col min="1543" max="1795" width="8.75" style="13"/>
    <col min="1796" max="1798" width="21.625" style="13" customWidth="1"/>
    <col min="1799" max="2051" width="8.75" style="13"/>
    <col min="2052" max="2054" width="21.625" style="13" customWidth="1"/>
    <col min="2055" max="2307" width="8.75" style="13"/>
    <col min="2308" max="2310" width="21.625" style="13" customWidth="1"/>
    <col min="2311" max="2563" width="8.75" style="13"/>
    <col min="2564" max="2566" width="21.625" style="13" customWidth="1"/>
    <col min="2567" max="2819" width="8.75" style="13"/>
    <col min="2820" max="2822" width="21.625" style="13" customWidth="1"/>
    <col min="2823" max="3075" width="8.75" style="13"/>
    <col min="3076" max="3078" width="21.625" style="13" customWidth="1"/>
    <col min="3079" max="3331" width="8.75" style="13"/>
    <col min="3332" max="3334" width="21.625" style="13" customWidth="1"/>
    <col min="3335" max="3587" width="8.75" style="13"/>
    <col min="3588" max="3590" width="21.625" style="13" customWidth="1"/>
    <col min="3591" max="3843" width="8.75" style="13"/>
    <col min="3844" max="3846" width="21.625" style="13" customWidth="1"/>
    <col min="3847" max="4099" width="8.75" style="13"/>
    <col min="4100" max="4102" width="21.625" style="13" customWidth="1"/>
    <col min="4103" max="4355" width="8.75" style="13"/>
    <col min="4356" max="4358" width="21.625" style="13" customWidth="1"/>
    <col min="4359" max="4611" width="8.75" style="13"/>
    <col min="4612" max="4614" width="21.625" style="13" customWidth="1"/>
    <col min="4615" max="4867" width="8.75" style="13"/>
    <col min="4868" max="4870" width="21.625" style="13" customWidth="1"/>
    <col min="4871" max="5123" width="8.75" style="13"/>
    <col min="5124" max="5126" width="21.625" style="13" customWidth="1"/>
    <col min="5127" max="5379" width="8.75" style="13"/>
    <col min="5380" max="5382" width="21.625" style="13" customWidth="1"/>
    <col min="5383" max="5635" width="8.75" style="13"/>
    <col min="5636" max="5638" width="21.625" style="13" customWidth="1"/>
    <col min="5639" max="5891" width="8.75" style="13"/>
    <col min="5892" max="5894" width="21.625" style="13" customWidth="1"/>
    <col min="5895" max="6147" width="8.75" style="13"/>
    <col min="6148" max="6150" width="21.625" style="13" customWidth="1"/>
    <col min="6151" max="6403" width="8.75" style="13"/>
    <col min="6404" max="6406" width="21.625" style="13" customWidth="1"/>
    <col min="6407" max="6659" width="8.75" style="13"/>
    <col min="6660" max="6662" width="21.625" style="13" customWidth="1"/>
    <col min="6663" max="6915" width="8.75" style="13"/>
    <col min="6916" max="6918" width="21.625" style="13" customWidth="1"/>
    <col min="6919" max="7171" width="8.75" style="13"/>
    <col min="7172" max="7174" width="21.625" style="13" customWidth="1"/>
    <col min="7175" max="7427" width="8.75" style="13"/>
    <col min="7428" max="7430" width="21.625" style="13" customWidth="1"/>
    <col min="7431" max="7683" width="8.75" style="13"/>
    <col min="7684" max="7686" width="21.625" style="13" customWidth="1"/>
    <col min="7687" max="7939" width="8.75" style="13"/>
    <col min="7940" max="7942" width="21.625" style="13" customWidth="1"/>
    <col min="7943" max="8195" width="8.75" style="13"/>
    <col min="8196" max="8198" width="21.625" style="13" customWidth="1"/>
    <col min="8199" max="8451" width="8.75" style="13"/>
    <col min="8452" max="8454" width="21.625" style="13" customWidth="1"/>
    <col min="8455" max="8707" width="8.75" style="13"/>
    <col min="8708" max="8710" width="21.625" style="13" customWidth="1"/>
    <col min="8711" max="8963" width="8.75" style="13"/>
    <col min="8964" max="8966" width="21.625" style="13" customWidth="1"/>
    <col min="8967" max="9219" width="8.75" style="13"/>
    <col min="9220" max="9222" width="21.625" style="13" customWidth="1"/>
    <col min="9223" max="9475" width="8.75" style="13"/>
    <col min="9476" max="9478" width="21.625" style="13" customWidth="1"/>
    <col min="9479" max="9731" width="8.75" style="13"/>
    <col min="9732" max="9734" width="21.625" style="13" customWidth="1"/>
    <col min="9735" max="9987" width="8.75" style="13"/>
    <col min="9988" max="9990" width="21.625" style="13" customWidth="1"/>
    <col min="9991" max="10243" width="8.75" style="13"/>
    <col min="10244" max="10246" width="21.625" style="13" customWidth="1"/>
    <col min="10247" max="10499" width="8.75" style="13"/>
    <col min="10500" max="10502" width="21.625" style="13" customWidth="1"/>
    <col min="10503" max="10755" width="8.75" style="13"/>
    <col min="10756" max="10758" width="21.625" style="13" customWidth="1"/>
    <col min="10759" max="11011" width="8.75" style="13"/>
    <col min="11012" max="11014" width="21.625" style="13" customWidth="1"/>
    <col min="11015" max="11267" width="8.75" style="13"/>
    <col min="11268" max="11270" width="21.625" style="13" customWidth="1"/>
    <col min="11271" max="11523" width="8.75" style="13"/>
    <col min="11524" max="11526" width="21.625" style="13" customWidth="1"/>
    <col min="11527" max="11779" width="8.75" style="13"/>
    <col min="11780" max="11782" width="21.625" style="13" customWidth="1"/>
    <col min="11783" max="12035" width="8.75" style="13"/>
    <col min="12036" max="12038" width="21.625" style="13" customWidth="1"/>
    <col min="12039" max="12291" width="8.75" style="13"/>
    <col min="12292" max="12294" width="21.625" style="13" customWidth="1"/>
    <col min="12295" max="12547" width="8.75" style="13"/>
    <col min="12548" max="12550" width="21.625" style="13" customWidth="1"/>
    <col min="12551" max="12803" width="8.75" style="13"/>
    <col min="12804" max="12806" width="21.625" style="13" customWidth="1"/>
    <col min="12807" max="13059" width="8.75" style="13"/>
    <col min="13060" max="13062" width="21.625" style="13" customWidth="1"/>
    <col min="13063" max="13315" width="8.75" style="13"/>
    <col min="13316" max="13318" width="21.625" style="13" customWidth="1"/>
    <col min="13319" max="13571" width="8.75" style="13"/>
    <col min="13572" max="13574" width="21.625" style="13" customWidth="1"/>
    <col min="13575" max="13827" width="8.75" style="13"/>
    <col min="13828" max="13830" width="21.625" style="13" customWidth="1"/>
    <col min="13831" max="14083" width="8.75" style="13"/>
    <col min="14084" max="14086" width="21.625" style="13" customWidth="1"/>
    <col min="14087" max="14339" width="8.75" style="13"/>
    <col min="14340" max="14342" width="21.625" style="13" customWidth="1"/>
    <col min="14343" max="14595" width="8.75" style="13"/>
    <col min="14596" max="14598" width="21.625" style="13" customWidth="1"/>
    <col min="14599" max="14851" width="8.75" style="13"/>
    <col min="14852" max="14854" width="21.625" style="13" customWidth="1"/>
    <col min="14855" max="15107" width="8.75" style="13"/>
    <col min="15108" max="15110" width="21.625" style="13" customWidth="1"/>
    <col min="15111" max="15363" width="8.75" style="13"/>
    <col min="15364" max="15366" width="21.625" style="13" customWidth="1"/>
    <col min="15367" max="15619" width="8.75" style="13"/>
    <col min="15620" max="15622" width="21.625" style="13" customWidth="1"/>
    <col min="15623" max="15875" width="8.75" style="13"/>
    <col min="15876" max="15878" width="21.625" style="13" customWidth="1"/>
    <col min="15879" max="16131" width="8.75" style="13"/>
    <col min="16132" max="16134" width="21.625" style="13" customWidth="1"/>
    <col min="16135" max="16384" width="8.75" style="13"/>
  </cols>
  <sheetData>
    <row r="1" spans="1:4" x14ac:dyDescent="0.2">
      <c r="A1" s="13" t="s">
        <v>68</v>
      </c>
      <c r="C1" s="15">
        <f>'2025'!H48</f>
        <v>155587</v>
      </c>
      <c r="D1" s="14">
        <f>(C1/C10)</f>
        <v>8.9938758177815686E-2</v>
      </c>
    </row>
    <row r="2" spans="1:4" x14ac:dyDescent="0.2">
      <c r="A2" s="13" t="s">
        <v>69</v>
      </c>
      <c r="C2" s="15">
        <f>'2025'!H71</f>
        <v>232645</v>
      </c>
      <c r="D2" s="14">
        <f>(C2/C10)</f>
        <v>0.1344829734892885</v>
      </c>
    </row>
    <row r="3" spans="1:4" x14ac:dyDescent="0.2">
      <c r="A3" s="13" t="s">
        <v>70</v>
      </c>
      <c r="C3" s="15">
        <f>'2025'!H87</f>
        <v>561810</v>
      </c>
      <c r="D3" s="14">
        <f>(C3/C10)</f>
        <v>0.32476038314177041</v>
      </c>
    </row>
    <row r="4" spans="1:4" x14ac:dyDescent="0.2">
      <c r="A4" s="13" t="s">
        <v>32</v>
      </c>
      <c r="C4" s="15">
        <f>'2025'!H99</f>
        <v>423800</v>
      </c>
      <c r="D4" s="14">
        <f>(C4/C10)</f>
        <v>0.24498220105637544</v>
      </c>
    </row>
    <row r="5" spans="1:4" x14ac:dyDescent="0.2">
      <c r="A5" s="13" t="s">
        <v>71</v>
      </c>
      <c r="C5" s="15">
        <f>'2025'!H129</f>
        <v>256479.5950079365</v>
      </c>
      <c r="D5" s="14">
        <f>(C5/C10)</f>
        <v>0.14826082046033989</v>
      </c>
    </row>
    <row r="6" spans="1:4" x14ac:dyDescent="0.2">
      <c r="A6" s="13" t="s">
        <v>72</v>
      </c>
      <c r="C6" s="15">
        <f>'2025'!H57</f>
        <v>99600</v>
      </c>
      <c r="D6" s="14">
        <f>C6/C10</f>
        <v>5.7574863674410087E-2</v>
      </c>
    </row>
    <row r="10" spans="1:4" x14ac:dyDescent="0.2">
      <c r="C10" s="13">
        <f>SUM(C1:C6)</f>
        <v>1729921.5950079365</v>
      </c>
      <c r="D10" s="14">
        <f>SUM(D1:D6)</f>
        <v>1</v>
      </c>
    </row>
  </sheetData>
  <pageMargins left="0.75" right="0.75" top="1" bottom="1" header="0.5" footer="0.5"/>
  <pageSetup orientation="portrait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transitionEvaluation="1">
    <pageSetUpPr fitToPage="1"/>
  </sheetPr>
  <dimension ref="A1:K132"/>
  <sheetViews>
    <sheetView tabSelected="1" view="pageLayout" topLeftCell="B1" zoomScaleNormal="100" workbookViewId="0">
      <selection activeCell="D10" sqref="D10"/>
    </sheetView>
  </sheetViews>
  <sheetFormatPr defaultColWidth="9.375" defaultRowHeight="14.25" customHeight="1" x14ac:dyDescent="0.2"/>
  <cols>
    <col min="1" max="1" width="5.25" style="32" customWidth="1"/>
    <col min="2" max="2" width="26" style="3" customWidth="1"/>
    <col min="3" max="3" width="6.125" style="1" customWidth="1"/>
    <col min="4" max="4" width="13.375" style="1" customWidth="1"/>
    <col min="5" max="5" width="6" style="1" customWidth="1"/>
    <col min="6" max="6" width="13.375" style="1" customWidth="1"/>
    <col min="7" max="7" width="6" style="1" customWidth="1"/>
    <col min="8" max="8" width="13.375" style="1" customWidth="1"/>
    <col min="9" max="9" width="3" style="1" customWidth="1"/>
    <col min="10" max="10" width="9.375" style="6"/>
    <col min="11" max="16384" width="9.375" style="1"/>
  </cols>
  <sheetData>
    <row r="1" spans="1:10" s="5" customFormat="1" ht="14.25" customHeight="1" x14ac:dyDescent="0.2">
      <c r="A1" s="31"/>
      <c r="D1" s="8" t="s">
        <v>116</v>
      </c>
      <c r="F1" s="8" t="s">
        <v>122</v>
      </c>
      <c r="H1" s="8" t="s">
        <v>123</v>
      </c>
      <c r="J1" s="7"/>
    </row>
    <row r="2" spans="1:10" s="5" customFormat="1" ht="14.25" customHeight="1" x14ac:dyDescent="0.2">
      <c r="A2" s="31"/>
      <c r="D2" s="8" t="s">
        <v>136</v>
      </c>
      <c r="F2" s="8"/>
      <c r="H2" s="8"/>
      <c r="J2" s="7"/>
    </row>
    <row r="3" spans="1:10" ht="14.25" customHeight="1" x14ac:dyDescent="0.2">
      <c r="B3" s="3" t="s">
        <v>40</v>
      </c>
      <c r="D3" s="2"/>
      <c r="F3" s="10"/>
      <c r="H3" s="2"/>
    </row>
    <row r="4" spans="1:10" ht="14.25" customHeight="1" x14ac:dyDescent="0.2">
      <c r="B4" s="3" t="s">
        <v>49</v>
      </c>
      <c r="D4" s="16">
        <v>486</v>
      </c>
      <c r="E4" s="16"/>
      <c r="F4" s="12">
        <f>D4</f>
        <v>486</v>
      </c>
      <c r="H4" s="22">
        <f>H6/12</f>
        <v>684.58187820851981</v>
      </c>
    </row>
    <row r="5" spans="1:10" ht="14.25" customHeight="1" x14ac:dyDescent="0.2">
      <c r="D5" s="16"/>
      <c r="E5" s="16"/>
      <c r="F5" s="12"/>
      <c r="H5" s="22"/>
    </row>
    <row r="6" spans="1:10" ht="14.25" customHeight="1" x14ac:dyDescent="0.2">
      <c r="B6" s="3" t="s">
        <v>0</v>
      </c>
      <c r="D6" s="16">
        <v>5825.8998325748325</v>
      </c>
      <c r="E6" s="16"/>
      <c r="F6" s="16">
        <f>D6</f>
        <v>5825.8998325748325</v>
      </c>
      <c r="H6" s="22">
        <f>(H25+H13)/195</f>
        <v>8214.9825385022377</v>
      </c>
    </row>
    <row r="7" spans="1:10" ht="14.25" customHeight="1" x14ac:dyDescent="0.2">
      <c r="B7" s="11" t="s">
        <v>113</v>
      </c>
      <c r="D7" s="25" t="s">
        <v>39</v>
      </c>
      <c r="E7" s="16"/>
      <c r="F7" s="26" t="s">
        <v>39</v>
      </c>
      <c r="H7" s="23" t="s">
        <v>39</v>
      </c>
    </row>
    <row r="8" spans="1:10" ht="14.25" customHeight="1" x14ac:dyDescent="0.2">
      <c r="D8" s="16"/>
      <c r="E8" s="16"/>
      <c r="F8" s="12"/>
      <c r="H8" s="22"/>
    </row>
    <row r="9" spans="1:10" ht="14.25" customHeight="1" x14ac:dyDescent="0.2">
      <c r="B9" s="4" t="s">
        <v>41</v>
      </c>
      <c r="D9" s="16"/>
      <c r="E9" s="16"/>
      <c r="F9" s="12"/>
      <c r="H9" s="22"/>
    </row>
    <row r="10" spans="1:10" ht="14.25" customHeight="1" x14ac:dyDescent="0.2">
      <c r="B10" s="3" t="s">
        <v>39</v>
      </c>
      <c r="D10" s="16"/>
      <c r="E10" s="16"/>
      <c r="F10" s="12"/>
      <c r="H10" s="22"/>
    </row>
    <row r="11" spans="1:10" ht="14.25" customHeight="1" x14ac:dyDescent="0.2">
      <c r="B11" s="3" t="s">
        <v>1</v>
      </c>
      <c r="D11" s="16"/>
      <c r="E11" s="16"/>
      <c r="F11" s="12"/>
      <c r="H11" s="22"/>
    </row>
    <row r="12" spans="1:10" ht="14.25" customHeight="1" x14ac:dyDescent="0.2">
      <c r="D12" s="16"/>
      <c r="E12" s="16"/>
      <c r="F12" s="12"/>
      <c r="H12" s="22"/>
    </row>
    <row r="13" spans="1:10" ht="14.25" customHeight="1" x14ac:dyDescent="0.2">
      <c r="A13" s="32">
        <v>5000</v>
      </c>
      <c r="B13" s="11" t="s">
        <v>127</v>
      </c>
      <c r="D13" s="16">
        <v>998385</v>
      </c>
      <c r="E13" s="25" t="s">
        <v>3</v>
      </c>
      <c r="F13" s="12">
        <f>D13</f>
        <v>998385</v>
      </c>
      <c r="H13" s="22">
        <f>H21-(H14+H16+H17+H18+H19)</f>
        <v>1345442</v>
      </c>
      <c r="I13" s="3" t="s">
        <v>3</v>
      </c>
    </row>
    <row r="14" spans="1:10" ht="14.25" hidden="1" customHeight="1" x14ac:dyDescent="0.2">
      <c r="B14" s="11" t="s">
        <v>79</v>
      </c>
      <c r="D14" s="16">
        <v>0</v>
      </c>
      <c r="E14" s="16"/>
      <c r="F14" s="12">
        <v>0</v>
      </c>
      <c r="H14" s="22">
        <v>0</v>
      </c>
    </row>
    <row r="15" spans="1:10" ht="14.25" customHeight="1" x14ac:dyDescent="0.2">
      <c r="A15" s="32">
        <v>5018</v>
      </c>
      <c r="B15" s="11" t="s">
        <v>128</v>
      </c>
      <c r="D15" s="16">
        <v>0</v>
      </c>
      <c r="E15" s="16"/>
      <c r="F15" s="12">
        <v>1480</v>
      </c>
      <c r="H15" s="22">
        <v>0</v>
      </c>
    </row>
    <row r="16" spans="1:10" ht="14.25" customHeight="1" x14ac:dyDescent="0.2">
      <c r="A16" s="32">
        <v>5010</v>
      </c>
      <c r="B16" s="11" t="s">
        <v>6</v>
      </c>
      <c r="D16" s="16">
        <v>500</v>
      </c>
      <c r="E16" s="16"/>
      <c r="F16" s="12">
        <v>1500</v>
      </c>
      <c r="H16" s="22">
        <v>0</v>
      </c>
    </row>
    <row r="17" spans="1:9" ht="14.25" customHeight="1" x14ac:dyDescent="0.2">
      <c r="A17" s="32">
        <v>5040</v>
      </c>
      <c r="B17" s="11" t="s">
        <v>129</v>
      </c>
      <c r="D17" s="16">
        <v>2250</v>
      </c>
      <c r="E17" s="16"/>
      <c r="F17" s="12">
        <v>1325</v>
      </c>
      <c r="H17" s="22">
        <v>0</v>
      </c>
    </row>
    <row r="18" spans="1:9" ht="14.25" customHeight="1" x14ac:dyDescent="0.2">
      <c r="A18" s="32">
        <v>1030</v>
      </c>
      <c r="B18" s="11" t="s">
        <v>130</v>
      </c>
      <c r="D18" s="16">
        <v>900</v>
      </c>
      <c r="E18" s="16"/>
      <c r="F18" s="12">
        <v>4000</v>
      </c>
      <c r="H18" s="22">
        <v>2000</v>
      </c>
    </row>
    <row r="19" spans="1:9" ht="14.25" customHeight="1" x14ac:dyDescent="0.2">
      <c r="A19" s="32">
        <v>5017</v>
      </c>
      <c r="B19" s="11" t="s">
        <v>131</v>
      </c>
      <c r="D19" s="16">
        <v>22800</v>
      </c>
      <c r="E19" s="16"/>
      <c r="F19" s="16">
        <v>22800</v>
      </c>
      <c r="H19" s="22">
        <v>26400</v>
      </c>
    </row>
    <row r="20" spans="1:9" ht="14.25" customHeight="1" x14ac:dyDescent="0.2">
      <c r="D20" s="25" t="s">
        <v>39</v>
      </c>
      <c r="E20" s="16"/>
      <c r="F20" s="26" t="s">
        <v>39</v>
      </c>
      <c r="H20" s="23" t="s">
        <v>39</v>
      </c>
    </row>
    <row r="21" spans="1:9" ht="14.25" customHeight="1" x14ac:dyDescent="0.2">
      <c r="B21" s="30" t="s">
        <v>7</v>
      </c>
      <c r="D21" s="16">
        <v>1026835</v>
      </c>
      <c r="E21" s="16"/>
      <c r="F21" s="12">
        <f>F13+F14+F16+F17+F18+F19</f>
        <v>1028010</v>
      </c>
      <c r="H21" s="22">
        <f>H101</f>
        <v>1373842</v>
      </c>
    </row>
    <row r="22" spans="1:9" ht="14.25" customHeight="1" x14ac:dyDescent="0.2">
      <c r="D22" s="16"/>
      <c r="E22" s="16"/>
      <c r="F22" s="12"/>
      <c r="H22" s="22"/>
    </row>
    <row r="23" spans="1:9" ht="14.25" customHeight="1" x14ac:dyDescent="0.2">
      <c r="B23" s="30" t="s">
        <v>8</v>
      </c>
      <c r="D23" s="16"/>
      <c r="E23" s="16"/>
      <c r="F23" s="12"/>
      <c r="H23" s="22"/>
    </row>
    <row r="24" spans="1:9" ht="14.25" customHeight="1" x14ac:dyDescent="0.2">
      <c r="D24" s="16"/>
      <c r="E24" s="16"/>
      <c r="F24" s="12"/>
      <c r="H24" s="22"/>
    </row>
    <row r="25" spans="1:9" ht="14.25" customHeight="1" x14ac:dyDescent="0.2">
      <c r="A25" s="32">
        <v>3000</v>
      </c>
      <c r="B25" s="3" t="s">
        <v>2</v>
      </c>
      <c r="D25" s="16">
        <v>137665.46735209235</v>
      </c>
      <c r="E25" s="25" t="s">
        <v>9</v>
      </c>
      <c r="F25" s="16">
        <f>D25</f>
        <v>137665.46735209235</v>
      </c>
      <c r="H25" s="22">
        <f>H29-H27-H26</f>
        <v>256479.5950079365</v>
      </c>
      <c r="I25" s="3" t="s">
        <v>9</v>
      </c>
    </row>
    <row r="26" spans="1:9" ht="14.25" customHeight="1" x14ac:dyDescent="0.2">
      <c r="A26" s="32">
        <v>3010</v>
      </c>
      <c r="B26" s="3" t="s">
        <v>4</v>
      </c>
      <c r="D26" s="16">
        <v>0</v>
      </c>
      <c r="E26" s="16"/>
      <c r="F26" s="12">
        <v>0</v>
      </c>
      <c r="H26" s="24">
        <v>0</v>
      </c>
    </row>
    <row r="27" spans="1:9" ht="14.25" customHeight="1" x14ac:dyDescent="0.2">
      <c r="A27" s="32">
        <v>5020</v>
      </c>
      <c r="B27" s="3" t="s">
        <v>5</v>
      </c>
      <c r="D27" s="16">
        <v>0</v>
      </c>
      <c r="E27" s="16"/>
      <c r="F27" s="12">
        <v>455325</v>
      </c>
      <c r="H27" s="22">
        <v>0</v>
      </c>
    </row>
    <row r="28" spans="1:9" ht="14.25" customHeight="1" x14ac:dyDescent="0.2">
      <c r="D28" s="25" t="s">
        <v>39</v>
      </c>
      <c r="E28" s="16"/>
      <c r="F28" s="26" t="s">
        <v>39</v>
      </c>
      <c r="H28" s="23" t="s">
        <v>39</v>
      </c>
    </row>
    <row r="29" spans="1:9" ht="14.25" customHeight="1" x14ac:dyDescent="0.2">
      <c r="B29" s="3" t="s">
        <v>10</v>
      </c>
      <c r="D29" s="16">
        <v>137666</v>
      </c>
      <c r="E29" s="16"/>
      <c r="F29" s="12">
        <f>F25+F26</f>
        <v>137665.46735209235</v>
      </c>
      <c r="H29" s="22">
        <f>H129</f>
        <v>256479.5950079365</v>
      </c>
    </row>
    <row r="30" spans="1:9" ht="14.25" customHeight="1" x14ac:dyDescent="0.2">
      <c r="D30" s="16"/>
      <c r="E30" s="16"/>
      <c r="F30" s="12"/>
      <c r="H30" s="22"/>
    </row>
    <row r="31" spans="1:9" ht="14.25" customHeight="1" x14ac:dyDescent="0.2">
      <c r="D31" s="25" t="s">
        <v>39</v>
      </c>
      <c r="E31" s="16"/>
      <c r="F31" s="26" t="s">
        <v>39</v>
      </c>
      <c r="H31" s="23" t="s">
        <v>39</v>
      </c>
    </row>
    <row r="32" spans="1:9" ht="14.25" customHeight="1" x14ac:dyDescent="0.2">
      <c r="B32" s="3" t="s">
        <v>11</v>
      </c>
      <c r="D32" s="16">
        <v>1164500.4673520923</v>
      </c>
      <c r="E32" s="16"/>
      <c r="F32" s="12">
        <f>F21+F29</f>
        <v>1165675.4673520923</v>
      </c>
      <c r="H32" s="22">
        <f>H21+H29</f>
        <v>1630321.5950079365</v>
      </c>
    </row>
    <row r="33" spans="1:10" ht="14.25" customHeight="1" x14ac:dyDescent="0.2">
      <c r="D33" s="3" t="s">
        <v>39</v>
      </c>
      <c r="F33" s="11" t="s">
        <v>39</v>
      </c>
      <c r="H33" s="23" t="s">
        <v>39</v>
      </c>
    </row>
    <row r="34" spans="1:10" ht="14.25" customHeight="1" x14ac:dyDescent="0.2">
      <c r="F34" s="9"/>
    </row>
    <row r="35" spans="1:10" ht="14.25" customHeight="1" x14ac:dyDescent="0.2">
      <c r="B35" s="4" t="s">
        <v>46</v>
      </c>
      <c r="F35" s="9"/>
    </row>
    <row r="36" spans="1:10" ht="14.25" customHeight="1" x14ac:dyDescent="0.2">
      <c r="B36" s="3" t="s">
        <v>39</v>
      </c>
      <c r="F36" s="9"/>
    </row>
    <row r="37" spans="1:10" ht="14.25" customHeight="1" x14ac:dyDescent="0.2">
      <c r="B37" s="3" t="s">
        <v>42</v>
      </c>
      <c r="F37" s="9"/>
    </row>
    <row r="38" spans="1:10" ht="14.25" customHeight="1" x14ac:dyDescent="0.2">
      <c r="F38" s="9"/>
    </row>
    <row r="39" spans="1:10" ht="14.25" customHeight="1" x14ac:dyDescent="0.2">
      <c r="A39" s="32">
        <v>6040</v>
      </c>
      <c r="B39" s="3" t="s">
        <v>12</v>
      </c>
      <c r="D39" s="16">
        <v>8000</v>
      </c>
      <c r="E39" s="16"/>
      <c r="F39" s="12">
        <v>45000</v>
      </c>
      <c r="G39" s="16"/>
      <c r="H39" s="16">
        <v>40000</v>
      </c>
    </row>
    <row r="40" spans="1:10" ht="14.25" customHeight="1" x14ac:dyDescent="0.2">
      <c r="A40" s="32">
        <v>6030</v>
      </c>
      <c r="B40" s="3" t="s">
        <v>13</v>
      </c>
      <c r="D40" s="16">
        <v>200</v>
      </c>
      <c r="E40" s="16"/>
      <c r="F40" s="12">
        <v>500</v>
      </c>
      <c r="G40" s="16"/>
      <c r="H40" s="16">
        <v>500</v>
      </c>
    </row>
    <row r="41" spans="1:10" ht="14.25" customHeight="1" x14ac:dyDescent="0.2">
      <c r="A41" s="32">
        <v>6010</v>
      </c>
      <c r="B41" s="3" t="s">
        <v>14</v>
      </c>
      <c r="D41" s="16">
        <v>5325</v>
      </c>
      <c r="E41" s="16"/>
      <c r="F41" s="16">
        <v>5325</v>
      </c>
      <c r="G41" s="16"/>
      <c r="H41" s="16">
        <v>5500</v>
      </c>
      <c r="J41" s="6" t="s">
        <v>39</v>
      </c>
    </row>
    <row r="42" spans="1:10" ht="14.25" customHeight="1" x14ac:dyDescent="0.2">
      <c r="A42" s="32">
        <v>6050</v>
      </c>
      <c r="B42" s="3" t="s">
        <v>15</v>
      </c>
      <c r="D42" s="16">
        <v>33930</v>
      </c>
      <c r="E42" s="16"/>
      <c r="F42" s="12">
        <v>33930</v>
      </c>
      <c r="G42" s="16"/>
      <c r="H42" s="16">
        <v>35287</v>
      </c>
    </row>
    <row r="43" spans="1:10" ht="14.25" customHeight="1" x14ac:dyDescent="0.2">
      <c r="A43" s="32">
        <v>6790</v>
      </c>
      <c r="B43" s="3" t="s">
        <v>47</v>
      </c>
      <c r="D43" s="16">
        <v>1500</v>
      </c>
      <c r="E43" s="16"/>
      <c r="F43" s="12">
        <v>500</v>
      </c>
      <c r="G43" s="16"/>
      <c r="H43" s="16">
        <v>500</v>
      </c>
    </row>
    <row r="44" spans="1:10" ht="14.25" customHeight="1" x14ac:dyDescent="0.2">
      <c r="A44" s="32" t="s">
        <v>132</v>
      </c>
      <c r="B44" s="11" t="s">
        <v>91</v>
      </c>
      <c r="D44" s="16">
        <v>32500</v>
      </c>
      <c r="E44" s="16"/>
      <c r="F44" s="12">
        <v>40000</v>
      </c>
      <c r="G44" s="16"/>
      <c r="H44" s="16">
        <v>39000</v>
      </c>
    </row>
    <row r="45" spans="1:10" ht="14.25" customHeight="1" x14ac:dyDescent="0.2">
      <c r="A45" s="32" t="s">
        <v>133</v>
      </c>
      <c r="B45" s="11" t="s">
        <v>90</v>
      </c>
      <c r="D45" s="16">
        <v>26000</v>
      </c>
      <c r="E45" s="16"/>
      <c r="F45" s="12">
        <v>28000</v>
      </c>
      <c r="G45" s="16"/>
      <c r="H45" s="16">
        <v>31200</v>
      </c>
    </row>
    <row r="46" spans="1:10" ht="14.25" customHeight="1" x14ac:dyDescent="0.2">
      <c r="A46" s="32">
        <v>6020</v>
      </c>
      <c r="B46" s="3" t="s">
        <v>16</v>
      </c>
      <c r="D46" s="16">
        <v>2200</v>
      </c>
      <c r="E46" s="16"/>
      <c r="F46" s="12">
        <v>3600</v>
      </c>
      <c r="G46" s="16"/>
      <c r="H46" s="16">
        <v>3600</v>
      </c>
    </row>
    <row r="47" spans="1:10" ht="14.25" customHeight="1" x14ac:dyDescent="0.2">
      <c r="F47" s="9"/>
    </row>
    <row r="48" spans="1:10" ht="14.25" customHeight="1" x14ac:dyDescent="0.2">
      <c r="B48" s="3" t="s">
        <v>43</v>
      </c>
      <c r="D48" s="16">
        <v>109655</v>
      </c>
      <c r="E48" s="16"/>
      <c r="F48" s="12">
        <f>SUM(F39:F47)</f>
        <v>156855</v>
      </c>
      <c r="G48" s="16"/>
      <c r="H48" s="16">
        <f>SUM(H39:H47)</f>
        <v>155587</v>
      </c>
    </row>
    <row r="49" spans="1:10" ht="14.25" customHeight="1" x14ac:dyDescent="0.2">
      <c r="D49" s="16"/>
      <c r="E49" s="16"/>
      <c r="F49" s="12"/>
      <c r="G49" s="16"/>
      <c r="H49" s="16"/>
    </row>
    <row r="50" spans="1:10" ht="14.25" customHeight="1" x14ac:dyDescent="0.2">
      <c r="D50" s="16"/>
      <c r="E50" s="16"/>
      <c r="F50" s="12"/>
      <c r="G50" s="16"/>
      <c r="H50" s="16"/>
    </row>
    <row r="51" spans="1:10" ht="14.25" customHeight="1" x14ac:dyDescent="0.2">
      <c r="B51" s="3" t="s">
        <v>17</v>
      </c>
      <c r="D51" s="16"/>
      <c r="E51" s="16"/>
      <c r="F51" s="12"/>
      <c r="G51" s="16"/>
      <c r="H51" s="16"/>
    </row>
    <row r="52" spans="1:10" ht="14.25" customHeight="1" x14ac:dyDescent="0.2">
      <c r="D52" s="16"/>
      <c r="E52" s="16"/>
      <c r="F52" s="12"/>
      <c r="G52" s="16"/>
      <c r="H52" s="16"/>
    </row>
    <row r="53" spans="1:10" ht="14.25" customHeight="1" x14ac:dyDescent="0.2">
      <c r="A53" s="32">
        <v>6230</v>
      </c>
      <c r="B53" s="3" t="s">
        <v>18</v>
      </c>
      <c r="D53" s="16">
        <v>25000</v>
      </c>
      <c r="E53" s="16"/>
      <c r="F53" s="12">
        <v>30000</v>
      </c>
      <c r="G53" s="16"/>
      <c r="H53" s="16">
        <v>25770</v>
      </c>
    </row>
    <row r="54" spans="1:10" ht="14.25" customHeight="1" x14ac:dyDescent="0.2">
      <c r="A54" s="32">
        <v>6261</v>
      </c>
      <c r="B54" s="11" t="s">
        <v>82</v>
      </c>
      <c r="D54" s="16">
        <v>1200</v>
      </c>
      <c r="E54" s="16"/>
      <c r="F54" s="12">
        <v>1200</v>
      </c>
      <c r="G54" s="16"/>
      <c r="H54" s="16">
        <v>1200</v>
      </c>
    </row>
    <row r="55" spans="1:10" ht="14.25" hidden="1" customHeight="1" x14ac:dyDescent="0.2">
      <c r="B55" s="3" t="s">
        <v>19</v>
      </c>
      <c r="D55" s="16">
        <v>0</v>
      </c>
      <c r="E55" s="16"/>
      <c r="F55" s="12">
        <v>0</v>
      </c>
      <c r="G55" s="16"/>
      <c r="H55" s="16">
        <v>0</v>
      </c>
    </row>
    <row r="56" spans="1:10" ht="14.25" hidden="1" customHeight="1" x14ac:dyDescent="0.2">
      <c r="B56" s="3" t="s">
        <v>20</v>
      </c>
      <c r="D56" s="16">
        <v>0</v>
      </c>
      <c r="E56" s="16"/>
      <c r="F56" s="12">
        <v>0</v>
      </c>
      <c r="G56" s="16"/>
      <c r="H56" s="16">
        <v>0</v>
      </c>
      <c r="J56" s="6" t="s">
        <v>39</v>
      </c>
    </row>
    <row r="57" spans="1:10" ht="14.25" customHeight="1" x14ac:dyDescent="0.2">
      <c r="A57" s="32">
        <v>6140</v>
      </c>
      <c r="B57" s="3" t="s">
        <v>21</v>
      </c>
      <c r="D57" s="16">
        <v>101430</v>
      </c>
      <c r="E57" s="16"/>
      <c r="F57" s="12">
        <v>101430</v>
      </c>
      <c r="G57" s="16"/>
      <c r="H57" s="16">
        <v>99600</v>
      </c>
      <c r="J57" s="6" t="s">
        <v>39</v>
      </c>
    </row>
    <row r="58" spans="1:10" ht="14.25" hidden="1" customHeight="1" x14ac:dyDescent="0.2">
      <c r="B58" s="3" t="s">
        <v>22</v>
      </c>
      <c r="D58" s="16">
        <v>0</v>
      </c>
      <c r="E58" s="16"/>
      <c r="F58" s="12">
        <v>0</v>
      </c>
      <c r="G58" s="16"/>
      <c r="H58" s="16">
        <v>0</v>
      </c>
    </row>
    <row r="59" spans="1:10" ht="14.25" customHeight="1" x14ac:dyDescent="0.2">
      <c r="A59" s="32">
        <v>6240</v>
      </c>
      <c r="B59" s="3" t="s">
        <v>23</v>
      </c>
      <c r="D59" s="16">
        <v>8500</v>
      </c>
      <c r="E59" s="16"/>
      <c r="F59" s="12">
        <v>8500</v>
      </c>
      <c r="G59" s="16"/>
      <c r="H59" s="16">
        <v>8000</v>
      </c>
    </row>
    <row r="60" spans="1:10" ht="14.25" customHeight="1" x14ac:dyDescent="0.2">
      <c r="A60" s="32">
        <v>6160</v>
      </c>
      <c r="B60" s="3" t="s">
        <v>24</v>
      </c>
      <c r="D60" s="16">
        <v>1400</v>
      </c>
      <c r="E60" s="16"/>
      <c r="F60" s="12">
        <v>1400</v>
      </c>
      <c r="G60" s="16"/>
      <c r="H60" s="16">
        <v>600</v>
      </c>
    </row>
    <row r="61" spans="1:10" ht="14.25" customHeight="1" x14ac:dyDescent="0.2">
      <c r="A61" s="32">
        <v>6142</v>
      </c>
      <c r="B61" s="11" t="s">
        <v>114</v>
      </c>
      <c r="D61" s="16">
        <v>2000</v>
      </c>
      <c r="E61" s="16"/>
      <c r="F61" s="12">
        <v>14000</v>
      </c>
      <c r="G61" s="16"/>
      <c r="H61" s="16">
        <v>3600</v>
      </c>
      <c r="J61" s="6" t="s">
        <v>39</v>
      </c>
    </row>
    <row r="62" spans="1:10" ht="14.25" customHeight="1" x14ac:dyDescent="0.2">
      <c r="A62" s="32">
        <v>6144</v>
      </c>
      <c r="B62" s="3" t="s">
        <v>48</v>
      </c>
      <c r="D62" s="16">
        <v>500</v>
      </c>
      <c r="E62" s="16"/>
      <c r="F62" s="12">
        <v>500</v>
      </c>
      <c r="G62" s="16"/>
      <c r="H62" s="16">
        <v>5000</v>
      </c>
    </row>
    <row r="63" spans="1:10" ht="14.25" customHeight="1" x14ac:dyDescent="0.2">
      <c r="A63" s="32">
        <v>6171</v>
      </c>
      <c r="B63" s="11" t="s">
        <v>86</v>
      </c>
      <c r="D63" s="16">
        <v>500</v>
      </c>
      <c r="E63" s="16"/>
      <c r="F63" s="12">
        <v>100</v>
      </c>
      <c r="G63" s="16"/>
      <c r="H63" s="16">
        <v>500</v>
      </c>
    </row>
    <row r="64" spans="1:10" ht="14.25" customHeight="1" x14ac:dyDescent="0.2">
      <c r="A64" s="32">
        <v>6120</v>
      </c>
      <c r="B64" s="11" t="s">
        <v>81</v>
      </c>
      <c r="D64" s="16">
        <v>10000</v>
      </c>
      <c r="E64" s="16"/>
      <c r="F64" s="12">
        <v>25000</v>
      </c>
      <c r="G64" s="16"/>
      <c r="H64" s="16">
        <v>20000</v>
      </c>
    </row>
    <row r="65" spans="1:10" ht="14.25" customHeight="1" x14ac:dyDescent="0.2">
      <c r="A65" s="32">
        <v>6200</v>
      </c>
      <c r="B65" s="3" t="s">
        <v>25</v>
      </c>
      <c r="D65" s="16">
        <v>8000</v>
      </c>
      <c r="E65" s="16"/>
      <c r="F65" s="12">
        <v>7000</v>
      </c>
      <c r="G65" s="16"/>
      <c r="H65" s="16">
        <v>8375</v>
      </c>
    </row>
    <row r="66" spans="1:10" ht="14.25" customHeight="1" x14ac:dyDescent="0.2">
      <c r="A66" s="32">
        <v>6130</v>
      </c>
      <c r="B66" s="11" t="s">
        <v>80</v>
      </c>
      <c r="D66" s="16">
        <v>46000</v>
      </c>
      <c r="E66" s="16"/>
      <c r="F66" s="12">
        <v>30000</v>
      </c>
      <c r="G66" s="16"/>
      <c r="H66" s="16">
        <v>46000</v>
      </c>
      <c r="J66" s="6" t="s">
        <v>39</v>
      </c>
    </row>
    <row r="67" spans="1:10" ht="14.25" customHeight="1" x14ac:dyDescent="0.2">
      <c r="A67" s="32">
        <v>6821</v>
      </c>
      <c r="B67" s="11" t="s">
        <v>115</v>
      </c>
      <c r="D67" s="16">
        <v>2000</v>
      </c>
      <c r="E67" s="16"/>
      <c r="F67" s="12">
        <v>2000</v>
      </c>
      <c r="G67" s="16"/>
      <c r="H67" s="16">
        <v>2000</v>
      </c>
      <c r="J67" s="6" t="s">
        <v>39</v>
      </c>
    </row>
    <row r="68" spans="1:10" ht="14.25" customHeight="1" x14ac:dyDescent="0.2">
      <c r="A68" s="32">
        <v>6143</v>
      </c>
      <c r="B68" s="3" t="s">
        <v>26</v>
      </c>
      <c r="D68" s="16">
        <v>13000</v>
      </c>
      <c r="E68" s="16"/>
      <c r="F68" s="12">
        <v>7000</v>
      </c>
      <c r="G68" s="16"/>
      <c r="H68" s="16">
        <v>12000</v>
      </c>
    </row>
    <row r="69" spans="1:10" ht="14.25" hidden="1" customHeight="1" x14ac:dyDescent="0.2">
      <c r="B69" s="11" t="s">
        <v>53</v>
      </c>
      <c r="D69" s="16">
        <v>0</v>
      </c>
      <c r="E69" s="16"/>
      <c r="F69" s="12">
        <v>0</v>
      </c>
      <c r="G69" s="16"/>
      <c r="H69" s="16">
        <v>0</v>
      </c>
    </row>
    <row r="70" spans="1:10" ht="14.25" customHeight="1" x14ac:dyDescent="0.2">
      <c r="D70" s="16"/>
      <c r="E70" s="16"/>
      <c r="F70" s="12"/>
      <c r="G70" s="16"/>
      <c r="H70" s="16"/>
    </row>
    <row r="71" spans="1:10" ht="14.25" customHeight="1" x14ac:dyDescent="0.2">
      <c r="B71" s="3" t="s">
        <v>44</v>
      </c>
      <c r="D71" s="16">
        <v>219530</v>
      </c>
      <c r="E71" s="16"/>
      <c r="F71" s="12">
        <f>SUM(F53:F70)</f>
        <v>228130</v>
      </c>
      <c r="G71" s="16"/>
      <c r="H71" s="16">
        <f>SUM(H53:H70)</f>
        <v>232645</v>
      </c>
    </row>
    <row r="72" spans="1:10" ht="14.25" customHeight="1" x14ac:dyDescent="0.2">
      <c r="F72" s="9"/>
    </row>
    <row r="73" spans="1:10" ht="14.25" customHeight="1" x14ac:dyDescent="0.2">
      <c r="F73" s="9"/>
    </row>
    <row r="74" spans="1:10" ht="14.25" customHeight="1" x14ac:dyDescent="0.2">
      <c r="B74" s="3" t="s">
        <v>27</v>
      </c>
      <c r="F74" s="9"/>
    </row>
    <row r="75" spans="1:10" ht="14.25" customHeight="1" x14ac:dyDescent="0.2">
      <c r="F75" s="9"/>
    </row>
    <row r="76" spans="1:10" ht="14.25" customHeight="1" x14ac:dyDescent="0.2">
      <c r="A76" s="32">
        <v>6703</v>
      </c>
      <c r="B76" s="11" t="s">
        <v>51</v>
      </c>
      <c r="D76" s="16">
        <v>62</v>
      </c>
      <c r="E76" s="16"/>
      <c r="F76" s="27">
        <v>61</v>
      </c>
      <c r="G76" s="16"/>
      <c r="H76" s="28">
        <v>62</v>
      </c>
      <c r="J76" s="6" t="s">
        <v>39</v>
      </c>
    </row>
    <row r="77" spans="1:10" ht="14.25" customHeight="1" x14ac:dyDescent="0.2">
      <c r="A77" s="32">
        <v>6730</v>
      </c>
      <c r="B77" s="11" t="s">
        <v>50</v>
      </c>
      <c r="D77" s="16">
        <v>200</v>
      </c>
      <c r="E77" s="16"/>
      <c r="F77" s="12">
        <v>500</v>
      </c>
      <c r="G77" s="16"/>
      <c r="H77" s="16">
        <v>0</v>
      </c>
    </row>
    <row r="78" spans="1:10" ht="14.25" customHeight="1" x14ac:dyDescent="0.2">
      <c r="A78" s="32">
        <v>6700</v>
      </c>
      <c r="B78" s="11" t="s">
        <v>126</v>
      </c>
      <c r="D78" s="16">
        <v>1713</v>
      </c>
      <c r="E78" s="16"/>
      <c r="F78" s="12">
        <v>1700</v>
      </c>
      <c r="G78" s="16"/>
      <c r="H78" s="16">
        <v>1700</v>
      </c>
    </row>
    <row r="79" spans="1:10" ht="14.25" customHeight="1" x14ac:dyDescent="0.2">
      <c r="A79" s="32">
        <v>6750</v>
      </c>
      <c r="B79" s="3" t="s">
        <v>28</v>
      </c>
      <c r="D79" s="16">
        <v>800</v>
      </c>
      <c r="E79" s="16"/>
      <c r="F79" s="12">
        <v>780</v>
      </c>
      <c r="G79" s="16"/>
      <c r="H79" s="16">
        <v>800</v>
      </c>
      <c r="J79" s="6" t="s">
        <v>39</v>
      </c>
    </row>
    <row r="80" spans="1:10" ht="14.25" customHeight="1" x14ac:dyDescent="0.2">
      <c r="A80" s="32">
        <v>6710</v>
      </c>
      <c r="B80" s="3" t="s">
        <v>29</v>
      </c>
      <c r="D80" s="16">
        <v>600</v>
      </c>
      <c r="E80" s="16"/>
      <c r="F80" s="12">
        <v>2100</v>
      </c>
      <c r="G80" s="16"/>
      <c r="H80" s="16">
        <v>1000</v>
      </c>
      <c r="J80" s="6" t="s">
        <v>39</v>
      </c>
    </row>
    <row r="81" spans="1:11" ht="14.25" customHeight="1" x14ac:dyDescent="0.2">
      <c r="A81" s="32">
        <v>6720</v>
      </c>
      <c r="B81" s="3" t="s">
        <v>30</v>
      </c>
      <c r="D81" s="16">
        <v>300000</v>
      </c>
      <c r="E81" s="16"/>
      <c r="F81" s="12">
        <v>523634</v>
      </c>
      <c r="G81" s="16"/>
      <c r="H81" s="16">
        <v>552723</v>
      </c>
      <c r="J81" s="6" t="s">
        <v>39</v>
      </c>
      <c r="K81" s="9"/>
    </row>
    <row r="82" spans="1:11" ht="14.25" customHeight="1" x14ac:dyDescent="0.2">
      <c r="A82" s="32">
        <v>6212</v>
      </c>
      <c r="B82" s="11" t="s">
        <v>89</v>
      </c>
      <c r="D82" s="16">
        <v>200</v>
      </c>
      <c r="E82" s="16"/>
      <c r="F82" s="12">
        <v>0</v>
      </c>
      <c r="G82" s="16"/>
      <c r="H82" s="16">
        <v>400</v>
      </c>
      <c r="K82" s="9"/>
    </row>
    <row r="83" spans="1:11" ht="14.25" customHeight="1" x14ac:dyDescent="0.2">
      <c r="A83" s="32">
        <v>6060</v>
      </c>
      <c r="B83" s="11" t="s">
        <v>83</v>
      </c>
      <c r="D83" s="16">
        <v>1000</v>
      </c>
      <c r="E83" s="16"/>
      <c r="F83" s="12">
        <v>1000</v>
      </c>
      <c r="G83" s="16"/>
      <c r="H83" s="16">
        <v>1000</v>
      </c>
      <c r="K83" s="9"/>
    </row>
    <row r="84" spans="1:11" ht="14.25" customHeight="1" x14ac:dyDescent="0.2">
      <c r="A84" s="32">
        <v>6236</v>
      </c>
      <c r="B84" s="11" t="s">
        <v>88</v>
      </c>
      <c r="D84" s="16">
        <v>2000</v>
      </c>
      <c r="E84" s="16"/>
      <c r="F84" s="12">
        <v>2500</v>
      </c>
      <c r="G84" s="16"/>
      <c r="H84" s="16">
        <v>4000</v>
      </c>
    </row>
    <row r="85" spans="1:11" ht="14.25" customHeight="1" x14ac:dyDescent="0.2">
      <c r="A85" s="32">
        <v>6701</v>
      </c>
      <c r="B85" s="11" t="s">
        <v>52</v>
      </c>
      <c r="D85" s="16">
        <v>125</v>
      </c>
      <c r="E85" s="16"/>
      <c r="F85" s="12">
        <v>125</v>
      </c>
      <c r="G85" s="16"/>
      <c r="H85" s="16">
        <v>125</v>
      </c>
    </row>
    <row r="86" spans="1:11" ht="14.25" customHeight="1" x14ac:dyDescent="0.2">
      <c r="D86" s="16"/>
      <c r="E86" s="16"/>
      <c r="F86" s="12"/>
      <c r="G86" s="16"/>
      <c r="H86" s="16"/>
    </row>
    <row r="87" spans="1:11" ht="14.25" customHeight="1" x14ac:dyDescent="0.2">
      <c r="B87" s="3" t="s">
        <v>31</v>
      </c>
      <c r="D87" s="16">
        <v>306700</v>
      </c>
      <c r="E87" s="16"/>
      <c r="F87" s="12">
        <f>SUM(F75:F86)</f>
        <v>532400</v>
      </c>
      <c r="G87" s="16"/>
      <c r="H87" s="16">
        <f>SUM(H75:H86)</f>
        <v>561810</v>
      </c>
    </row>
    <row r="88" spans="1:11" ht="14.25" customHeight="1" x14ac:dyDescent="0.2">
      <c r="D88" s="16"/>
      <c r="E88" s="16"/>
      <c r="F88" s="12"/>
      <c r="G88" s="16"/>
      <c r="H88" s="16"/>
    </row>
    <row r="89" spans="1:11" ht="14.25" customHeight="1" x14ac:dyDescent="0.2">
      <c r="D89" s="16"/>
      <c r="E89" s="16"/>
      <c r="F89" s="12"/>
      <c r="G89" s="16"/>
      <c r="H89" s="16"/>
    </row>
    <row r="90" spans="1:11" ht="14.25" customHeight="1" x14ac:dyDescent="0.2">
      <c r="B90" s="3" t="s">
        <v>32</v>
      </c>
      <c r="D90" s="16"/>
      <c r="E90" s="16"/>
      <c r="F90" s="12"/>
      <c r="G90" s="16"/>
      <c r="H90" s="16"/>
    </row>
    <row r="91" spans="1:11" ht="14.25" customHeight="1" x14ac:dyDescent="0.2">
      <c r="D91" s="16"/>
      <c r="E91" s="16"/>
      <c r="F91" s="12"/>
      <c r="G91" s="16"/>
      <c r="H91" s="16"/>
    </row>
    <row r="92" spans="1:11" ht="14.25" customHeight="1" x14ac:dyDescent="0.2">
      <c r="A92" s="32">
        <v>6600</v>
      </c>
      <c r="B92" s="3" t="s">
        <v>33</v>
      </c>
      <c r="D92" s="16">
        <v>130000</v>
      </c>
      <c r="E92" s="16"/>
      <c r="F92" s="12">
        <v>130000</v>
      </c>
      <c r="G92" s="16"/>
      <c r="H92" s="16">
        <v>107640</v>
      </c>
    </row>
    <row r="93" spans="1:11" ht="14.25" customHeight="1" x14ac:dyDescent="0.2">
      <c r="A93" s="32">
        <v>6610</v>
      </c>
      <c r="B93" s="3" t="s">
        <v>34</v>
      </c>
      <c r="D93" s="16">
        <v>18000</v>
      </c>
      <c r="E93" s="16"/>
      <c r="F93" s="12">
        <v>16416</v>
      </c>
      <c r="G93" s="16"/>
      <c r="H93" s="16">
        <v>18000</v>
      </c>
    </row>
    <row r="94" spans="1:11" ht="14.25" customHeight="1" x14ac:dyDescent="0.2">
      <c r="A94" s="32">
        <v>6616</v>
      </c>
      <c r="B94" s="11" t="s">
        <v>87</v>
      </c>
      <c r="D94" s="16">
        <v>650</v>
      </c>
      <c r="E94" s="16"/>
      <c r="F94" s="12">
        <v>650</v>
      </c>
      <c r="G94" s="16"/>
      <c r="H94" s="16">
        <v>650</v>
      </c>
    </row>
    <row r="95" spans="1:11" ht="14.25" customHeight="1" x14ac:dyDescent="0.2">
      <c r="A95" s="32">
        <v>6620</v>
      </c>
      <c r="B95" s="3" t="s">
        <v>35</v>
      </c>
      <c r="D95" s="22">
        <v>4300</v>
      </c>
      <c r="E95" s="22"/>
      <c r="F95" s="24">
        <v>4300</v>
      </c>
      <c r="G95" s="22"/>
      <c r="H95" s="22">
        <v>4300</v>
      </c>
    </row>
    <row r="96" spans="1:11" ht="14.25" customHeight="1" x14ac:dyDescent="0.2">
      <c r="A96" s="32">
        <v>6643</v>
      </c>
      <c r="B96" s="11" t="s">
        <v>85</v>
      </c>
      <c r="D96" s="22">
        <v>62000</v>
      </c>
      <c r="E96" s="22"/>
      <c r="F96" s="24">
        <v>69618</v>
      </c>
      <c r="G96" s="22"/>
      <c r="H96" s="22">
        <v>71707</v>
      </c>
    </row>
    <row r="97" spans="1:10" ht="14.25" customHeight="1" x14ac:dyDescent="0.2">
      <c r="A97" s="32">
        <v>6640</v>
      </c>
      <c r="B97" s="11" t="s">
        <v>84</v>
      </c>
      <c r="D97" s="22">
        <v>176000</v>
      </c>
      <c r="E97" s="22"/>
      <c r="F97" s="24">
        <v>214013</v>
      </c>
      <c r="G97" s="22"/>
      <c r="H97" s="22">
        <v>221503</v>
      </c>
    </row>
    <row r="98" spans="1:10" ht="14.25" customHeight="1" x14ac:dyDescent="0.2">
      <c r="D98" s="22"/>
      <c r="E98" s="22"/>
      <c r="F98" s="24"/>
      <c r="G98" s="22"/>
      <c r="H98" s="22"/>
    </row>
    <row r="99" spans="1:10" ht="14.25" customHeight="1" x14ac:dyDescent="0.2">
      <c r="B99" s="3" t="s">
        <v>36</v>
      </c>
      <c r="D99" s="22">
        <v>390950</v>
      </c>
      <c r="E99" s="22"/>
      <c r="F99" s="24">
        <f>SUM(F91:F97)</f>
        <v>434997</v>
      </c>
      <c r="G99" s="22"/>
      <c r="H99" s="22">
        <f>SUM(H91:H97)</f>
        <v>423800</v>
      </c>
    </row>
    <row r="100" spans="1:10" ht="14.25" customHeight="1" x14ac:dyDescent="0.2">
      <c r="D100" s="22"/>
      <c r="E100" s="22"/>
      <c r="F100" s="24"/>
      <c r="G100" s="22"/>
      <c r="H100" s="22"/>
    </row>
    <row r="101" spans="1:10" ht="14.25" customHeight="1" x14ac:dyDescent="0.2">
      <c r="B101" s="3" t="s">
        <v>37</v>
      </c>
      <c r="D101" s="22">
        <v>1026835</v>
      </c>
      <c r="E101" s="22"/>
      <c r="F101" s="24">
        <f>F48+F71+F87+F99</f>
        <v>1352382</v>
      </c>
      <c r="G101" s="22"/>
      <c r="H101" s="22">
        <f>H48+H71+H87+H99</f>
        <v>1373842</v>
      </c>
    </row>
    <row r="102" spans="1:10" ht="14.25" customHeight="1" x14ac:dyDescent="0.2">
      <c r="D102" s="22"/>
      <c r="E102" s="22"/>
      <c r="F102" s="24"/>
      <c r="G102" s="22"/>
      <c r="H102" s="22"/>
    </row>
    <row r="103" spans="1:10" ht="14.25" customHeight="1" x14ac:dyDescent="0.2">
      <c r="D103" s="22"/>
      <c r="E103" s="22"/>
      <c r="F103" s="24"/>
      <c r="G103" s="22"/>
      <c r="H103" s="22"/>
    </row>
    <row r="104" spans="1:10" ht="14.25" customHeight="1" x14ac:dyDescent="0.2">
      <c r="B104" s="3" t="s">
        <v>8</v>
      </c>
      <c r="D104" s="22"/>
      <c r="E104" s="22"/>
      <c r="F104" s="24"/>
      <c r="G104" s="22"/>
      <c r="H104" s="22"/>
    </row>
    <row r="105" spans="1:10" ht="14.25" customHeight="1" x14ac:dyDescent="0.2">
      <c r="D105" s="22"/>
      <c r="E105" s="22"/>
      <c r="F105" s="24"/>
      <c r="G105" s="22"/>
      <c r="H105" s="22"/>
    </row>
    <row r="106" spans="1:10" ht="14.25" customHeight="1" x14ac:dyDescent="0.2">
      <c r="A106" s="32">
        <v>7185</v>
      </c>
      <c r="B106" s="11" t="s">
        <v>92</v>
      </c>
      <c r="D106" s="22">
        <v>3118.1</v>
      </c>
      <c r="E106" s="22"/>
      <c r="F106" s="22">
        <f t="shared" ref="F106" si="0">D106</f>
        <v>3118.1</v>
      </c>
      <c r="G106" s="22"/>
      <c r="H106" s="22">
        <f>Reserve!I5</f>
        <v>5392.5287499999995</v>
      </c>
    </row>
    <row r="107" spans="1:10" ht="14.25" customHeight="1" x14ac:dyDescent="0.2">
      <c r="A107" s="32">
        <v>7062</v>
      </c>
      <c r="B107" s="3" t="s">
        <v>93</v>
      </c>
      <c r="D107" s="22">
        <v>11939.714285714286</v>
      </c>
      <c r="E107" s="22"/>
      <c r="F107" s="22">
        <f t="shared" ref="F107:F127" si="1">D107</f>
        <v>11939.714285714286</v>
      </c>
      <c r="G107" s="22"/>
      <c r="H107" s="22">
        <f>Reserve!I7</f>
        <v>14932.601999999999</v>
      </c>
      <c r="J107" s="6" t="s">
        <v>39</v>
      </c>
    </row>
    <row r="108" spans="1:10" ht="14.25" hidden="1" customHeight="1" x14ac:dyDescent="0.2">
      <c r="B108" s="11" t="s">
        <v>121</v>
      </c>
      <c r="D108" s="22">
        <v>0</v>
      </c>
      <c r="E108" s="22"/>
      <c r="F108" s="22">
        <v>0</v>
      </c>
      <c r="G108" s="22"/>
      <c r="H108" s="22">
        <v>0</v>
      </c>
    </row>
    <row r="109" spans="1:10" ht="14.25" customHeight="1" x14ac:dyDescent="0.2">
      <c r="A109" s="32">
        <v>6070</v>
      </c>
      <c r="B109" s="11" t="s">
        <v>124</v>
      </c>
      <c r="D109" s="22">
        <v>0</v>
      </c>
      <c r="E109" s="22"/>
      <c r="F109" s="22">
        <v>0</v>
      </c>
      <c r="G109" s="22"/>
      <c r="H109" s="22">
        <f>Reserve!I9</f>
        <v>50000</v>
      </c>
    </row>
    <row r="110" spans="1:10" ht="14.25" customHeight="1" x14ac:dyDescent="0.2">
      <c r="A110" s="32">
        <v>7015</v>
      </c>
      <c r="B110" s="3" t="s">
        <v>94</v>
      </c>
      <c r="D110" s="22">
        <v>2998.4</v>
      </c>
      <c r="E110" s="22"/>
      <c r="F110" s="22">
        <f t="shared" si="1"/>
        <v>2998.4</v>
      </c>
      <c r="G110" s="22"/>
      <c r="H110" s="22">
        <f>Reserve!I11</f>
        <v>3267.5012500000003</v>
      </c>
    </row>
    <row r="111" spans="1:10" ht="14.25" customHeight="1" x14ac:dyDescent="0.2">
      <c r="A111" s="32">
        <v>7016</v>
      </c>
      <c r="B111" s="3" t="s">
        <v>111</v>
      </c>
      <c r="D111" s="22">
        <v>9588.4285714285706</v>
      </c>
      <c r="E111" s="22"/>
      <c r="F111" s="22">
        <f t="shared" si="1"/>
        <v>9588.4285714285706</v>
      </c>
      <c r="G111" s="22"/>
      <c r="H111" s="22">
        <f>Reserve!I13</f>
        <v>10965.433999999999</v>
      </c>
      <c r="J111" s="6" t="s">
        <v>39</v>
      </c>
    </row>
    <row r="112" spans="1:10" ht="14.25" hidden="1" customHeight="1" x14ac:dyDescent="0.2">
      <c r="B112" s="11" t="s">
        <v>120</v>
      </c>
      <c r="D112" s="22">
        <v>0</v>
      </c>
      <c r="E112" s="22"/>
      <c r="F112" s="22">
        <v>0</v>
      </c>
      <c r="G112" s="22"/>
      <c r="H112" s="22">
        <v>0</v>
      </c>
    </row>
    <row r="113" spans="1:8" ht="14.25" customHeight="1" x14ac:dyDescent="0.2">
      <c r="A113" s="32">
        <v>7008</v>
      </c>
      <c r="B113" s="11" t="s">
        <v>134</v>
      </c>
      <c r="D113" s="22">
        <v>16197.875</v>
      </c>
      <c r="E113" s="22"/>
      <c r="F113" s="22">
        <f t="shared" si="1"/>
        <v>16197.875</v>
      </c>
      <c r="G113" s="22"/>
      <c r="H113" s="22">
        <f>Reserve!I15</f>
        <v>18135.986666666668</v>
      </c>
    </row>
    <row r="114" spans="1:8" ht="14.25" customHeight="1" x14ac:dyDescent="0.2">
      <c r="A114" s="32">
        <v>7001</v>
      </c>
      <c r="B114" s="11" t="s">
        <v>97</v>
      </c>
      <c r="D114" s="22">
        <v>478.66666666666669</v>
      </c>
      <c r="E114" s="22"/>
      <c r="F114" s="22">
        <f t="shared" si="1"/>
        <v>478.66666666666669</v>
      </c>
      <c r="G114" s="22"/>
      <c r="H114" s="22">
        <f>Reserve!I17</f>
        <v>2257.9899999999998</v>
      </c>
    </row>
    <row r="115" spans="1:8" ht="14.25" customHeight="1" x14ac:dyDescent="0.2">
      <c r="A115" s="32">
        <v>7040</v>
      </c>
      <c r="B115" s="11" t="s">
        <v>75</v>
      </c>
      <c r="D115" s="22">
        <v>11066.888888888889</v>
      </c>
      <c r="E115" s="22"/>
      <c r="F115" s="22">
        <f t="shared" si="1"/>
        <v>11066.888888888889</v>
      </c>
      <c r="G115" s="22"/>
      <c r="H115" s="22">
        <f>Reserve!I19</f>
        <v>18409.264285714286</v>
      </c>
    </row>
    <row r="116" spans="1:8" ht="14.25" customHeight="1" x14ac:dyDescent="0.2">
      <c r="A116" s="32">
        <v>7010</v>
      </c>
      <c r="B116" s="11" t="s">
        <v>98</v>
      </c>
      <c r="D116" s="22">
        <v>56096.727272727272</v>
      </c>
      <c r="E116" s="22"/>
      <c r="F116" s="22">
        <f t="shared" si="1"/>
        <v>56096.727272727272</v>
      </c>
      <c r="G116" s="22"/>
      <c r="H116" s="22">
        <f>Reserve!I21</f>
        <v>42243.972222222219</v>
      </c>
    </row>
    <row r="117" spans="1:8" ht="14.25" hidden="1" customHeight="1" x14ac:dyDescent="0.2">
      <c r="B117" s="11" t="s">
        <v>117</v>
      </c>
      <c r="D117" s="22">
        <v>0</v>
      </c>
      <c r="E117" s="22"/>
      <c r="F117" s="22">
        <v>0</v>
      </c>
      <c r="G117" s="22"/>
      <c r="H117" s="22">
        <v>0</v>
      </c>
    </row>
    <row r="118" spans="1:8" ht="14.25" customHeight="1" x14ac:dyDescent="0.2">
      <c r="A118" s="32">
        <v>7012</v>
      </c>
      <c r="B118" s="11" t="s">
        <v>99</v>
      </c>
      <c r="D118" s="22">
        <v>19291.8</v>
      </c>
      <c r="E118" s="22"/>
      <c r="F118" s="22">
        <f t="shared" si="1"/>
        <v>19291.8</v>
      </c>
      <c r="G118" s="22"/>
      <c r="H118" s="22">
        <f>Reserve!I23</f>
        <v>0</v>
      </c>
    </row>
    <row r="119" spans="1:8" ht="14.25" customHeight="1" x14ac:dyDescent="0.2">
      <c r="A119" s="32">
        <v>7210</v>
      </c>
      <c r="B119" s="11" t="s">
        <v>100</v>
      </c>
      <c r="D119" s="22">
        <v>0</v>
      </c>
      <c r="E119" s="22"/>
      <c r="F119" s="22">
        <f t="shared" si="1"/>
        <v>0</v>
      </c>
      <c r="G119" s="22"/>
      <c r="H119" s="22">
        <f>Reserve!I25</f>
        <v>0.44000000000050932</v>
      </c>
    </row>
    <row r="120" spans="1:8" ht="14.25" customHeight="1" x14ac:dyDescent="0.2">
      <c r="A120" s="32">
        <v>7095</v>
      </c>
      <c r="B120" s="11" t="s">
        <v>112</v>
      </c>
      <c r="D120" s="22">
        <v>960.66666666666663</v>
      </c>
      <c r="E120" s="22"/>
      <c r="F120" s="22">
        <f t="shared" si="1"/>
        <v>960.66666666666663</v>
      </c>
      <c r="G120" s="22"/>
      <c r="H120" s="22">
        <f>Reserve!I27</f>
        <v>1649.83</v>
      </c>
    </row>
    <row r="121" spans="1:8" ht="14.25" customHeight="1" x14ac:dyDescent="0.2">
      <c r="A121" s="32">
        <v>7026</v>
      </c>
      <c r="B121" s="11" t="s">
        <v>102</v>
      </c>
      <c r="D121" s="22">
        <v>0</v>
      </c>
      <c r="E121" s="22"/>
      <c r="F121" s="24">
        <f t="shared" si="1"/>
        <v>0</v>
      </c>
      <c r="G121" s="22"/>
      <c r="H121" s="22">
        <f>Reserve!I29</f>
        <v>630</v>
      </c>
    </row>
    <row r="122" spans="1:8" ht="14.25" customHeight="1" x14ac:dyDescent="0.2">
      <c r="A122" s="32">
        <v>7120</v>
      </c>
      <c r="B122" s="11" t="s">
        <v>103</v>
      </c>
      <c r="D122" s="22">
        <v>2189.1999999999998</v>
      </c>
      <c r="E122" s="22"/>
      <c r="F122" s="22">
        <f t="shared" si="1"/>
        <v>2189.1999999999998</v>
      </c>
      <c r="G122" s="22"/>
      <c r="H122" s="22">
        <f>Reserve!I31</f>
        <v>6626.9025000000001</v>
      </c>
    </row>
    <row r="123" spans="1:8" ht="14.25" hidden="1" customHeight="1" x14ac:dyDescent="0.2">
      <c r="B123" s="11" t="s">
        <v>119</v>
      </c>
      <c r="D123" s="22">
        <v>0</v>
      </c>
      <c r="E123" s="22"/>
      <c r="F123" s="22">
        <v>0</v>
      </c>
      <c r="G123" s="22"/>
      <c r="H123" s="22">
        <v>0</v>
      </c>
    </row>
    <row r="124" spans="1:8" ht="14.25" customHeight="1" x14ac:dyDescent="0.2">
      <c r="A124" s="32">
        <v>7160</v>
      </c>
      <c r="B124" s="11" t="s">
        <v>104</v>
      </c>
      <c r="D124" s="22">
        <v>0</v>
      </c>
      <c r="E124" s="22"/>
      <c r="F124" s="22">
        <f t="shared" si="1"/>
        <v>0</v>
      </c>
      <c r="G124" s="22"/>
      <c r="H124" s="22">
        <f>Reserve!I33</f>
        <v>75000</v>
      </c>
    </row>
    <row r="125" spans="1:8" ht="14.25" customHeight="1" x14ac:dyDescent="0.2">
      <c r="A125" s="32">
        <v>7050</v>
      </c>
      <c r="B125" s="11" t="s">
        <v>105</v>
      </c>
      <c r="D125" s="22">
        <v>3739</v>
      </c>
      <c r="E125" s="22"/>
      <c r="F125" s="22">
        <f t="shared" si="1"/>
        <v>3739</v>
      </c>
      <c r="G125" s="22"/>
      <c r="H125" s="22">
        <f>Reserve!I35</f>
        <v>6967.1433333333334</v>
      </c>
    </row>
    <row r="126" spans="1:8" ht="14.25" hidden="1" customHeight="1" x14ac:dyDescent="0.2">
      <c r="B126" s="11" t="s">
        <v>118</v>
      </c>
      <c r="D126" s="22">
        <v>0</v>
      </c>
      <c r="E126" s="22"/>
      <c r="F126" s="22">
        <v>0</v>
      </c>
      <c r="G126" s="22"/>
      <c r="H126" s="22">
        <v>0</v>
      </c>
    </row>
    <row r="127" spans="1:8" ht="14.25" customHeight="1" x14ac:dyDescent="0.2">
      <c r="A127" s="32">
        <v>7005</v>
      </c>
      <c r="B127" s="3" t="s">
        <v>106</v>
      </c>
      <c r="D127" s="22">
        <v>0</v>
      </c>
      <c r="E127" s="22"/>
      <c r="F127" s="24">
        <f t="shared" si="1"/>
        <v>0</v>
      </c>
      <c r="G127" s="22"/>
      <c r="H127" s="22">
        <f>Reserve!I37</f>
        <v>0</v>
      </c>
    </row>
    <row r="128" spans="1:8" ht="14.25" customHeight="1" x14ac:dyDescent="0.2">
      <c r="D128" s="23" t="s">
        <v>39</v>
      </c>
      <c r="E128" s="22"/>
      <c r="F128" s="29" t="s">
        <v>39</v>
      </c>
      <c r="G128" s="22"/>
      <c r="H128" s="23" t="s">
        <v>39</v>
      </c>
    </row>
    <row r="129" spans="2:8" ht="14.25" customHeight="1" x14ac:dyDescent="0.2">
      <c r="B129" s="3" t="s">
        <v>38</v>
      </c>
      <c r="D129" s="22">
        <v>137665.46735209235</v>
      </c>
      <c r="E129" s="22"/>
      <c r="F129" s="24">
        <f>SUM(F105:F128)</f>
        <v>137665.46735209235</v>
      </c>
      <c r="G129" s="22"/>
      <c r="H129" s="22">
        <f>SUM(H105:H128)</f>
        <v>256479.5950079365</v>
      </c>
    </row>
    <row r="130" spans="2:8" ht="14.25" customHeight="1" x14ac:dyDescent="0.2">
      <c r="D130" s="23" t="s">
        <v>39</v>
      </c>
      <c r="E130" s="22"/>
      <c r="F130" s="29" t="s">
        <v>39</v>
      </c>
      <c r="G130" s="22"/>
      <c r="H130" s="23" t="s">
        <v>39</v>
      </c>
    </row>
    <row r="131" spans="2:8" ht="14.25" customHeight="1" x14ac:dyDescent="0.2">
      <c r="B131" s="3" t="s">
        <v>45</v>
      </c>
      <c r="D131" s="22">
        <v>1164500.4673520923</v>
      </c>
      <c r="E131" s="22"/>
      <c r="F131" s="24">
        <f>F101+F129</f>
        <v>1490047.4673520923</v>
      </c>
      <c r="G131" s="22"/>
      <c r="H131" s="22">
        <f>H101+H129</f>
        <v>1630321.5950079365</v>
      </c>
    </row>
    <row r="132" spans="2:8" ht="14.25" customHeight="1" x14ac:dyDescent="0.2">
      <c r="D132" s="22"/>
      <c r="E132" s="22"/>
      <c r="F132" s="24"/>
      <c r="G132" s="22"/>
      <c r="H132" s="22"/>
    </row>
  </sheetData>
  <phoneticPr fontId="4" type="noConversion"/>
  <pageMargins left="0.75" right="0.75" top="1" bottom="1" header="0.5" footer="0.5"/>
  <pageSetup scale="82" fitToHeight="0" orientation="portrait" r:id="rId1"/>
  <headerFooter alignWithMargins="0">
    <oddHeader>&amp;C&amp;"Arial,Regular"GLEN OAKS RIDGE
January 1, 2026 to December 31, 2026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83DD-4BFB-46FE-AA99-34546CA5F718}">
  <sheetPr>
    <pageSetUpPr fitToPage="1"/>
  </sheetPr>
  <dimension ref="A1:I48"/>
  <sheetViews>
    <sheetView view="pageLayout" zoomScaleNormal="100" workbookViewId="0">
      <selection activeCell="E10" sqref="E10"/>
    </sheetView>
  </sheetViews>
  <sheetFormatPr defaultColWidth="11" defaultRowHeight="12.75" x14ac:dyDescent="0.2"/>
  <cols>
    <col min="1" max="1" width="30.625" style="9" customWidth="1"/>
    <col min="2" max="3" width="11" style="9" customWidth="1"/>
    <col min="4" max="4" width="14" style="9" bestFit="1" customWidth="1"/>
    <col min="5" max="5" width="11.875" style="9" bestFit="1" customWidth="1"/>
    <col min="6" max="7" width="10.875" style="9" bestFit="1" customWidth="1"/>
    <col min="8" max="8" width="6.125" style="9" customWidth="1"/>
    <col min="9" max="9" width="9.875" style="9" bestFit="1" customWidth="1"/>
    <col min="10" max="16384" width="11" style="9"/>
  </cols>
  <sheetData>
    <row r="1" spans="1:9" x14ac:dyDescent="0.2">
      <c r="B1" s="12" t="s">
        <v>55</v>
      </c>
      <c r="C1" s="12" t="s">
        <v>56</v>
      </c>
      <c r="D1" s="9" t="s">
        <v>54</v>
      </c>
      <c r="E1" s="9" t="s">
        <v>54</v>
      </c>
      <c r="F1" s="9" t="s">
        <v>57</v>
      </c>
      <c r="G1" s="9" t="s">
        <v>78</v>
      </c>
      <c r="I1" s="9" t="s">
        <v>58</v>
      </c>
    </row>
    <row r="2" spans="1:9" x14ac:dyDescent="0.2">
      <c r="B2" s="12" t="s">
        <v>59</v>
      </c>
      <c r="C2" s="12" t="s">
        <v>59</v>
      </c>
      <c r="D2" s="9" t="s">
        <v>60</v>
      </c>
      <c r="E2" s="9" t="s">
        <v>61</v>
      </c>
      <c r="F2" s="9" t="s">
        <v>62</v>
      </c>
      <c r="G2" s="9" t="s">
        <v>57</v>
      </c>
      <c r="I2" s="9" t="s">
        <v>63</v>
      </c>
    </row>
    <row r="3" spans="1:9" x14ac:dyDescent="0.2">
      <c r="B3" s="12"/>
      <c r="C3" s="12"/>
      <c r="G3" s="18">
        <v>46023</v>
      </c>
      <c r="H3" s="18"/>
      <c r="I3" s="17">
        <v>2026</v>
      </c>
    </row>
    <row r="4" spans="1:9" x14ac:dyDescent="0.2">
      <c r="B4" s="12"/>
      <c r="C4" s="12"/>
      <c r="D4" s="8"/>
    </row>
    <row r="5" spans="1:9" x14ac:dyDescent="0.2">
      <c r="A5" s="9" t="s">
        <v>92</v>
      </c>
      <c r="B5" s="12">
        <v>15</v>
      </c>
      <c r="C5" s="12">
        <v>8</v>
      </c>
      <c r="D5" s="20" t="s">
        <v>107</v>
      </c>
      <c r="E5" s="9">
        <v>65000</v>
      </c>
      <c r="F5" s="9">
        <f>(E5-G5)</f>
        <v>43140.229999999996</v>
      </c>
      <c r="G5" s="9">
        <v>21859.77</v>
      </c>
      <c r="I5" s="12">
        <f>F5/(C5)</f>
        <v>5392.5287499999995</v>
      </c>
    </row>
    <row r="6" spans="1:9" x14ac:dyDescent="0.2">
      <c r="B6" s="12"/>
      <c r="C6" s="12"/>
      <c r="D6" s="20"/>
      <c r="I6" s="12"/>
    </row>
    <row r="7" spans="1:9" x14ac:dyDescent="0.2">
      <c r="A7" s="9" t="s">
        <v>93</v>
      </c>
      <c r="B7" s="12">
        <v>14</v>
      </c>
      <c r="C7" s="12">
        <v>5</v>
      </c>
      <c r="D7" s="20" t="s">
        <v>108</v>
      </c>
      <c r="E7" s="9">
        <v>99700</v>
      </c>
      <c r="F7" s="9">
        <f>(E7-G7)</f>
        <v>74663.009999999995</v>
      </c>
      <c r="G7" s="9">
        <v>25036.99</v>
      </c>
      <c r="I7" s="12">
        <f>F7/(C7)</f>
        <v>14932.601999999999</v>
      </c>
    </row>
    <row r="8" spans="1:9" x14ac:dyDescent="0.2">
      <c r="B8" s="12"/>
      <c r="C8" s="12"/>
      <c r="D8" s="20"/>
      <c r="I8" s="12"/>
    </row>
    <row r="9" spans="1:9" x14ac:dyDescent="0.2">
      <c r="A9" s="9" t="s">
        <v>124</v>
      </c>
      <c r="B9" s="12">
        <v>15</v>
      </c>
      <c r="C9" s="12">
        <v>1</v>
      </c>
      <c r="D9" s="20" t="s">
        <v>125</v>
      </c>
      <c r="E9" s="9">
        <v>50000</v>
      </c>
      <c r="F9" s="9">
        <f>E9-G9</f>
        <v>50000</v>
      </c>
      <c r="G9" s="9">
        <v>0</v>
      </c>
      <c r="I9" s="12">
        <f>F9/(C9)</f>
        <v>50000</v>
      </c>
    </row>
    <row r="10" spans="1:9" x14ac:dyDescent="0.2">
      <c r="B10" s="12"/>
      <c r="C10" s="12"/>
      <c r="D10" s="20"/>
      <c r="I10" s="12"/>
    </row>
    <row r="11" spans="1:9" x14ac:dyDescent="0.2">
      <c r="A11" s="9" t="s">
        <v>94</v>
      </c>
      <c r="B11" s="12">
        <v>20</v>
      </c>
      <c r="C11" s="12">
        <v>8</v>
      </c>
      <c r="D11" s="20" t="s">
        <v>107</v>
      </c>
      <c r="E11" s="9">
        <v>62000</v>
      </c>
      <c r="F11" s="9">
        <f>(E11-G11)</f>
        <v>26140.010000000002</v>
      </c>
      <c r="G11" s="9">
        <v>35859.99</v>
      </c>
      <c r="I11" s="12">
        <f>F11/(C11)</f>
        <v>3267.5012500000003</v>
      </c>
    </row>
    <row r="12" spans="1:9" x14ac:dyDescent="0.2">
      <c r="B12" s="12"/>
      <c r="C12" s="12"/>
      <c r="D12" s="20"/>
      <c r="I12" s="12"/>
    </row>
    <row r="13" spans="1:9" x14ac:dyDescent="0.2">
      <c r="A13" s="9" t="s">
        <v>95</v>
      </c>
      <c r="B13" s="12">
        <v>20</v>
      </c>
      <c r="C13" s="12">
        <v>5</v>
      </c>
      <c r="D13" s="21" t="s">
        <v>108</v>
      </c>
      <c r="E13" s="9">
        <v>150000</v>
      </c>
      <c r="F13" s="9">
        <f>(E13-G13)</f>
        <v>54827.17</v>
      </c>
      <c r="G13" s="9">
        <v>95172.83</v>
      </c>
      <c r="I13" s="12">
        <f>F13/(C13)</f>
        <v>10965.433999999999</v>
      </c>
    </row>
    <row r="14" spans="1:9" x14ac:dyDescent="0.2">
      <c r="B14" s="12"/>
      <c r="C14" s="12"/>
      <c r="D14" s="21"/>
      <c r="I14" s="12"/>
    </row>
    <row r="15" spans="1:9" x14ac:dyDescent="0.2">
      <c r="A15" s="9" t="s">
        <v>96</v>
      </c>
      <c r="B15" s="12">
        <v>10</v>
      </c>
      <c r="C15" s="12">
        <v>6</v>
      </c>
      <c r="D15" s="21" t="s">
        <v>76</v>
      </c>
      <c r="E15" s="9">
        <v>185000</v>
      </c>
      <c r="F15" s="9">
        <f>(E15-G15)</f>
        <v>108815.92</v>
      </c>
      <c r="G15" s="9">
        <v>76184.08</v>
      </c>
      <c r="I15" s="12">
        <f>F15/(C15)</f>
        <v>18135.986666666668</v>
      </c>
    </row>
    <row r="16" spans="1:9" x14ac:dyDescent="0.2">
      <c r="B16" s="12"/>
      <c r="C16" s="12"/>
      <c r="D16" s="21"/>
      <c r="I16" s="12"/>
    </row>
    <row r="17" spans="1:9" x14ac:dyDescent="0.2">
      <c r="A17" s="9" t="s">
        <v>97</v>
      </c>
      <c r="B17" s="12">
        <v>10</v>
      </c>
      <c r="C17" s="12">
        <v>1</v>
      </c>
      <c r="D17" s="21">
        <v>2030</v>
      </c>
      <c r="E17" s="9">
        <v>10000</v>
      </c>
      <c r="F17" s="9">
        <f>(E17-G17)</f>
        <v>2257.9899999999998</v>
      </c>
      <c r="G17" s="9">
        <v>7742.01</v>
      </c>
      <c r="I17" s="12">
        <f>F17/(C17)</f>
        <v>2257.9899999999998</v>
      </c>
    </row>
    <row r="18" spans="1:9" x14ac:dyDescent="0.2">
      <c r="C18" s="19"/>
      <c r="D18" s="21"/>
      <c r="I18" s="12"/>
    </row>
    <row r="19" spans="1:9" x14ac:dyDescent="0.2">
      <c r="A19" s="9" t="s">
        <v>75</v>
      </c>
      <c r="B19" s="19">
        <v>20</v>
      </c>
      <c r="C19" s="19">
        <v>7</v>
      </c>
      <c r="D19" s="21">
        <v>2033</v>
      </c>
      <c r="E19" s="9">
        <v>175000</v>
      </c>
      <c r="F19" s="9">
        <f>(E19-G19)</f>
        <v>128864.85</v>
      </c>
      <c r="G19" s="9">
        <v>46135.15</v>
      </c>
      <c r="I19" s="12">
        <f>F19/(C19)</f>
        <v>18409.264285714286</v>
      </c>
    </row>
    <row r="20" spans="1:9" x14ac:dyDescent="0.2">
      <c r="B20" s="19"/>
      <c r="C20" s="19"/>
      <c r="D20" s="21"/>
      <c r="I20" s="12"/>
    </row>
    <row r="21" spans="1:9" x14ac:dyDescent="0.2">
      <c r="A21" s="9" t="s">
        <v>98</v>
      </c>
      <c r="B21" s="19">
        <v>15</v>
      </c>
      <c r="C21" s="19">
        <v>9</v>
      </c>
      <c r="D21" s="21">
        <v>2035</v>
      </c>
      <c r="E21" s="9">
        <v>875000</v>
      </c>
      <c r="F21" s="9">
        <f>(E21-G21)</f>
        <v>380195.75</v>
      </c>
      <c r="G21" s="9">
        <v>494804.25</v>
      </c>
      <c r="I21" s="12">
        <f>F21/(C21)</f>
        <v>42243.972222222219</v>
      </c>
    </row>
    <row r="22" spans="1:9" x14ac:dyDescent="0.2">
      <c r="B22" s="19"/>
      <c r="C22" s="19"/>
      <c r="D22" s="21"/>
      <c r="I22" s="12"/>
    </row>
    <row r="23" spans="1:9" x14ac:dyDescent="0.2">
      <c r="A23" s="9" t="s">
        <v>99</v>
      </c>
      <c r="B23" s="19">
        <v>10</v>
      </c>
      <c r="C23" s="19">
        <v>3</v>
      </c>
      <c r="D23" s="21" t="s">
        <v>109</v>
      </c>
      <c r="E23" s="9">
        <v>154615.04000000001</v>
      </c>
      <c r="F23" s="9">
        <f>(E23-G23)</f>
        <v>0</v>
      </c>
      <c r="G23" s="9">
        <v>154615.04000000001</v>
      </c>
      <c r="I23" s="12">
        <f>F23/(C23)</f>
        <v>0</v>
      </c>
    </row>
    <row r="24" spans="1:9" x14ac:dyDescent="0.2">
      <c r="B24" s="19"/>
      <c r="C24" s="19"/>
      <c r="D24" s="21"/>
      <c r="I24" s="12"/>
    </row>
    <row r="25" spans="1:9" x14ac:dyDescent="0.2">
      <c r="A25" s="9" t="s">
        <v>100</v>
      </c>
      <c r="B25" s="19">
        <v>7</v>
      </c>
      <c r="C25" s="19">
        <v>1</v>
      </c>
      <c r="D25" s="21" t="s">
        <v>77</v>
      </c>
      <c r="E25" s="9">
        <v>8812</v>
      </c>
      <c r="F25" s="9">
        <f>(E25-G25)</f>
        <v>0.44000000000050932</v>
      </c>
      <c r="G25" s="9">
        <v>8811.56</v>
      </c>
      <c r="I25" s="12">
        <f>F25/(C25)</f>
        <v>0.44000000000050932</v>
      </c>
    </row>
    <row r="26" spans="1:9" x14ac:dyDescent="0.2">
      <c r="B26" s="19"/>
      <c r="C26" s="19"/>
      <c r="D26" s="21"/>
      <c r="I26" s="12"/>
    </row>
    <row r="27" spans="1:9" x14ac:dyDescent="0.2">
      <c r="A27" s="9" t="s">
        <v>101</v>
      </c>
      <c r="B27" s="19">
        <v>30</v>
      </c>
      <c r="C27" s="19">
        <v>1</v>
      </c>
      <c r="D27" s="21" t="s">
        <v>110</v>
      </c>
      <c r="E27" s="9">
        <v>10000</v>
      </c>
      <c r="F27" s="9">
        <f>(E27-G27)</f>
        <v>1649.83</v>
      </c>
      <c r="G27" s="9">
        <v>8350.17</v>
      </c>
      <c r="I27" s="12">
        <f>F27/(C27)</f>
        <v>1649.83</v>
      </c>
    </row>
    <row r="28" spans="1:9" x14ac:dyDescent="0.2">
      <c r="B28" s="19"/>
      <c r="C28" s="19"/>
      <c r="D28" s="21"/>
      <c r="I28" s="12"/>
    </row>
    <row r="29" spans="1:9" x14ac:dyDescent="0.2">
      <c r="A29" s="9" t="s">
        <v>102</v>
      </c>
      <c r="B29" s="19">
        <v>10</v>
      </c>
      <c r="C29" s="19">
        <v>1</v>
      </c>
      <c r="D29" s="21">
        <v>2026</v>
      </c>
      <c r="E29" s="9">
        <v>630</v>
      </c>
      <c r="F29" s="9">
        <f>(E29-G29)</f>
        <v>630</v>
      </c>
      <c r="G29" s="9">
        <v>0</v>
      </c>
      <c r="I29" s="12">
        <f>F29/(C29)</f>
        <v>630</v>
      </c>
    </row>
    <row r="30" spans="1:9" x14ac:dyDescent="0.2">
      <c r="B30" s="19"/>
      <c r="C30" s="19"/>
      <c r="D30" s="21"/>
      <c r="I30" s="12"/>
    </row>
    <row r="31" spans="1:9" x14ac:dyDescent="0.2">
      <c r="A31" s="9" t="s">
        <v>103</v>
      </c>
      <c r="B31" s="19">
        <v>20</v>
      </c>
      <c r="C31" s="19">
        <v>8</v>
      </c>
      <c r="D31" s="21" t="s">
        <v>107</v>
      </c>
      <c r="E31" s="9">
        <v>70000</v>
      </c>
      <c r="F31" s="9">
        <f>(E31-G31)</f>
        <v>53015.22</v>
      </c>
      <c r="G31" s="9">
        <v>16984.78</v>
      </c>
      <c r="I31" s="12">
        <f>F31/(C31)</f>
        <v>6626.9025000000001</v>
      </c>
    </row>
    <row r="32" spans="1:9" x14ac:dyDescent="0.2">
      <c r="B32" s="19"/>
      <c r="C32" s="19"/>
      <c r="D32" s="21"/>
      <c r="I32" s="12"/>
    </row>
    <row r="33" spans="1:9" x14ac:dyDescent="0.2">
      <c r="A33" s="9" t="s">
        <v>135</v>
      </c>
      <c r="B33" s="19">
        <v>1</v>
      </c>
      <c r="C33" s="19">
        <v>1</v>
      </c>
      <c r="D33" s="21">
        <v>2026</v>
      </c>
      <c r="E33" s="9">
        <v>75000</v>
      </c>
      <c r="F33" s="9">
        <f>(E33-G33)</f>
        <v>75000</v>
      </c>
      <c r="G33" s="9">
        <v>0</v>
      </c>
      <c r="I33" s="12">
        <f>F33/(C33)</f>
        <v>75000</v>
      </c>
    </row>
    <row r="34" spans="1:9" x14ac:dyDescent="0.2">
      <c r="B34" s="19"/>
      <c r="C34" s="19"/>
      <c r="D34" s="21"/>
      <c r="I34" s="12"/>
    </row>
    <row r="35" spans="1:9" x14ac:dyDescent="0.2">
      <c r="A35" s="9" t="s">
        <v>105</v>
      </c>
      <c r="B35" s="19">
        <v>5</v>
      </c>
      <c r="C35" s="19">
        <v>3</v>
      </c>
      <c r="D35" s="21">
        <v>2029</v>
      </c>
      <c r="E35" s="9">
        <v>25000</v>
      </c>
      <c r="F35" s="9">
        <f>(E35-G35)</f>
        <v>20901.43</v>
      </c>
      <c r="G35" s="9">
        <v>4098.57</v>
      </c>
      <c r="I35" s="12">
        <f>F35/(C35)</f>
        <v>6967.1433333333334</v>
      </c>
    </row>
    <row r="36" spans="1:9" x14ac:dyDescent="0.2">
      <c r="B36" s="19"/>
      <c r="C36" s="19"/>
      <c r="D36" s="21"/>
      <c r="I36" s="12"/>
    </row>
    <row r="37" spans="1:9" x14ac:dyDescent="0.2">
      <c r="A37" s="9" t="s">
        <v>106</v>
      </c>
      <c r="B37" s="19">
        <v>1</v>
      </c>
      <c r="C37" s="19">
        <v>1</v>
      </c>
      <c r="D37" s="21">
        <v>2026</v>
      </c>
      <c r="E37" s="9">
        <v>8578.07</v>
      </c>
      <c r="F37" s="9">
        <f>(E37-G37)</f>
        <v>0</v>
      </c>
      <c r="G37" s="9">
        <v>8578.07</v>
      </c>
      <c r="I37" s="12">
        <f>F37/(C37)</f>
        <v>0</v>
      </c>
    </row>
    <row r="38" spans="1:9" x14ac:dyDescent="0.2">
      <c r="C38" s="19"/>
      <c r="G38" s="9" t="s">
        <v>39</v>
      </c>
    </row>
    <row r="39" spans="1:9" x14ac:dyDescent="0.2">
      <c r="I39" s="9" t="s">
        <v>39</v>
      </c>
    </row>
    <row r="40" spans="1:9" x14ac:dyDescent="0.2">
      <c r="I40" s="9">
        <f>SUM(I5:I39)</f>
        <v>256479.5950079365</v>
      </c>
    </row>
    <row r="42" spans="1:9" x14ac:dyDescent="0.2">
      <c r="A42" s="9" t="s">
        <v>64</v>
      </c>
    </row>
    <row r="43" spans="1:9" x14ac:dyDescent="0.2">
      <c r="A43" s="9" t="s">
        <v>74</v>
      </c>
    </row>
    <row r="44" spans="1:9" x14ac:dyDescent="0.2">
      <c r="A44" s="9" t="s">
        <v>73</v>
      </c>
    </row>
    <row r="46" spans="1:9" x14ac:dyDescent="0.2">
      <c r="A46" s="9" t="s">
        <v>65</v>
      </c>
    </row>
    <row r="47" spans="1:9" x14ac:dyDescent="0.2">
      <c r="A47" s="9" t="s">
        <v>66</v>
      </c>
    </row>
    <row r="48" spans="1:9" x14ac:dyDescent="0.2">
      <c r="A48" s="9" t="s">
        <v>67</v>
      </c>
    </row>
  </sheetData>
  <pageMargins left="0.7" right="0.7" top="0.75" bottom="0.75" header="0.3" footer="0.3"/>
  <pageSetup scale="98" fitToHeight="0" orientation="landscape" r:id="rId1"/>
  <headerFooter>
    <oddHeader xml:space="preserve">&amp;C&amp;"Arial,Regular"Reserve Schedule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Totals</vt:lpstr>
      <vt:lpstr>2025</vt:lpstr>
      <vt:lpstr>Reserve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Brown</dc:creator>
  <cp:lastModifiedBy>Dana Cloer</cp:lastModifiedBy>
  <cp:lastPrinted>2025-12-16T19:31:51Z</cp:lastPrinted>
  <dcterms:created xsi:type="dcterms:W3CDTF">2003-08-16T21:45:20Z</dcterms:created>
  <dcterms:modified xsi:type="dcterms:W3CDTF">2025-12-16T19:31:56Z</dcterms:modified>
</cp:coreProperties>
</file>
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hristianson\AppData\Local\Microsoft\Windows\INetCache\Content.Outlook\YYTWHNB8\"/>
    </mc:Choice>
  </mc:AlternateContent>
  <xr:revisionPtr revIDLastSave="0" documentId="13_ncr:1_{9D8FC29F-9785-4153-98D4-C825E793515A}" xr6:coauthVersionLast="47" xr6:coauthVersionMax="47" xr10:uidLastSave="{00000000-0000-0000-0000-000000000000}"/>
  <bookViews>
    <workbookView xWindow="-120" yWindow="-120" windowWidth="22290" windowHeight="13425" xr2:uid="{00000000-000D-0000-FFFF-FFFF00000000}"/>
  </bookViews>
  <sheets>
    <sheet name="Budget " sheetId="1" r:id="rId1"/>
    <sheet name="Reserves" sheetId="3" r:id="rId2"/>
  </sheets>
  <definedNames>
    <definedName name="_xlnm.Print_Area" localSheetId="0">'Budget '!$A$1:$K$94</definedName>
    <definedName name="_xlnm.Print_Titles" localSheetId="0">'Budget 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5" i="1"/>
  <c r="H12" i="1"/>
  <c r="H10" i="1"/>
  <c r="H4" i="1"/>
  <c r="J19" i="1"/>
  <c r="J15" i="1"/>
  <c r="J10" i="1"/>
  <c r="J82" i="1"/>
  <c r="J84" i="1"/>
  <c r="J85" i="1"/>
  <c r="J86" i="1"/>
  <c r="J87" i="1"/>
  <c r="J88" i="1"/>
  <c r="J81" i="1"/>
  <c r="J83" i="1"/>
  <c r="J30" i="1"/>
  <c r="H30" i="1"/>
  <c r="H78" i="1" s="1"/>
  <c r="D12" i="3"/>
  <c r="E8" i="3"/>
  <c r="E7" i="3"/>
  <c r="E6" i="3"/>
  <c r="E5" i="3"/>
  <c r="E4" i="3"/>
  <c r="E3" i="3"/>
  <c r="J69" i="1"/>
  <c r="J57" i="1"/>
  <c r="J76" i="1"/>
  <c r="H19" i="1" l="1"/>
  <c r="G12" i="3"/>
  <c r="J89" i="1" s="1"/>
  <c r="J17" i="1" s="1"/>
  <c r="E12" i="3"/>
  <c r="J78" i="1"/>
  <c r="J91" i="1" l="1"/>
  <c r="J12" i="1"/>
  <c r="J4" i="1"/>
  <c r="J2" i="1"/>
</calcChain>
</file>

<file path=xl/sharedStrings.xml><?xml version="1.0" encoding="utf-8"?>
<sst xmlns="http://schemas.openxmlformats.org/spreadsheetml/2006/main" count="128" uniqueCount="124">
  <si>
    <t>Assessment For Year</t>
  </si>
  <si>
    <t xml:space="preserve"> ((a+b)/168 units)</t>
  </si>
  <si>
    <t>REVENUES:</t>
  </si>
  <si>
    <t>OPERATING</t>
  </si>
  <si>
    <t xml:space="preserve">   TOTAL OPERATING</t>
  </si>
  <si>
    <t>RESERVES</t>
  </si>
  <si>
    <t xml:space="preserve">   TOTAL RESERVES</t>
  </si>
  <si>
    <t>TOTAL INCOME</t>
  </si>
  <si>
    <t xml:space="preserve">   TOTAL ADMIN.</t>
  </si>
  <si>
    <t>MAINTENANCE</t>
  </si>
  <si>
    <t xml:space="preserve">   TOTAL MAINT.</t>
  </si>
  <si>
    <t>OTHER EXPENSES</t>
  </si>
  <si>
    <t xml:space="preserve">   TOTAL OTHER</t>
  </si>
  <si>
    <t>UTILITIES</t>
  </si>
  <si>
    <t xml:space="preserve">   TOTAL UTILITIES</t>
  </si>
  <si>
    <t>TOTAL OPERATING</t>
  </si>
  <si>
    <t xml:space="preserve">   Painting</t>
  </si>
  <si>
    <t xml:space="preserve">   Roofs</t>
  </si>
  <si>
    <t xml:space="preserve">   Pool</t>
  </si>
  <si>
    <t xml:space="preserve">   Fencing</t>
  </si>
  <si>
    <t xml:space="preserve">   Lake Bridge Rpr</t>
  </si>
  <si>
    <t xml:space="preserve">   Paving</t>
  </si>
  <si>
    <t>TOTAL RESERVES</t>
  </si>
  <si>
    <t>TOTAL OPERATING AND</t>
  </si>
  <si>
    <t xml:space="preserve">     RESERVES</t>
  </si>
  <si>
    <t>SURPLUS</t>
  </si>
  <si>
    <t xml:space="preserve">EXPENSES </t>
  </si>
  <si>
    <t xml:space="preserve">ADMINISTRATION </t>
  </si>
  <si>
    <t xml:space="preserve">Member Assessment </t>
  </si>
  <si>
    <t>Per Month Per Unit</t>
  </si>
  <si>
    <t xml:space="preserve">   Building Repairs</t>
  </si>
  <si>
    <t>Interest</t>
  </si>
  <si>
    <t>Reserve Assessment</t>
  </si>
  <si>
    <t>Income/Carport</t>
  </si>
  <si>
    <t>Member Assmts</t>
  </si>
  <si>
    <t>CPA Fees</t>
  </si>
  <si>
    <t>Postage &amp; Printing</t>
  </si>
  <si>
    <t>Bank Charges</t>
  </si>
  <si>
    <t>Attorney Fees</t>
  </si>
  <si>
    <t>Management (C&amp;S)</t>
  </si>
  <si>
    <t>Misc Repair</t>
  </si>
  <si>
    <t>Security Exp</t>
  </si>
  <si>
    <t>Fire Safety</t>
  </si>
  <si>
    <t>Pest Control</t>
  </si>
  <si>
    <t>Drainage</t>
  </si>
  <si>
    <t>Landscaping</t>
  </si>
  <si>
    <t>Tree Trimming</t>
  </si>
  <si>
    <t>Grounds on Site</t>
  </si>
  <si>
    <t>Mulch</t>
  </si>
  <si>
    <t>Fertilizer Tru Green</t>
  </si>
  <si>
    <t>Irrigation Maint</t>
  </si>
  <si>
    <t>Lake Maint</t>
  </si>
  <si>
    <t>Equipment Repair</t>
  </si>
  <si>
    <t>Walkways/Sidewalks</t>
  </si>
  <si>
    <t>Electric Maint</t>
  </si>
  <si>
    <t>Pool Mtce. Contract</t>
  </si>
  <si>
    <t>Pool Furniture /Supplies</t>
  </si>
  <si>
    <t>Build Repair</t>
  </si>
  <si>
    <t>Roof Repair</t>
  </si>
  <si>
    <t>Janitorial/Maint</t>
  </si>
  <si>
    <t>Rec Bldg / Cleaning</t>
  </si>
  <si>
    <t>Payroll</t>
  </si>
  <si>
    <t>Filing &amp; License</t>
  </si>
  <si>
    <t>Income Taxes</t>
  </si>
  <si>
    <t>Insurance</t>
  </si>
  <si>
    <t>Bad Debts</t>
  </si>
  <si>
    <t>Division Fees</t>
  </si>
  <si>
    <t>Office Supplies</t>
  </si>
  <si>
    <t xml:space="preserve">Cable </t>
  </si>
  <si>
    <t xml:space="preserve">Electricity </t>
  </si>
  <si>
    <t>Telephone</t>
  </si>
  <si>
    <t>Water/Sewer/Trash</t>
  </si>
  <si>
    <t>misc</t>
  </si>
  <si>
    <t xml:space="preserve">Total Life </t>
  </si>
  <si>
    <t xml:space="preserve">Remaining   </t>
  </si>
  <si>
    <t xml:space="preserve">Estimated Current </t>
  </si>
  <si>
    <t xml:space="preserve">Net Additional Reserve </t>
  </si>
  <si>
    <t>In Years</t>
  </si>
  <si>
    <t>Life In Years</t>
  </si>
  <si>
    <t>Replacement Cost</t>
  </si>
  <si>
    <t>Fund Requirements</t>
  </si>
  <si>
    <t>Reserve Deposits</t>
  </si>
  <si>
    <t>Roofs</t>
  </si>
  <si>
    <t>Paint Bldgs</t>
  </si>
  <si>
    <t>Building Repairs</t>
  </si>
  <si>
    <t>Total Paving</t>
  </si>
  <si>
    <t>Total Pool</t>
  </si>
  <si>
    <t>Bridge</t>
  </si>
  <si>
    <t>Fence</t>
  </si>
  <si>
    <t>Total Reserves</t>
  </si>
  <si>
    <t>Please refer to the attached schedule per the Boards Spreadsheet</t>
  </si>
  <si>
    <t>Formula:</t>
  </si>
  <si>
    <t>Balance Needed = Estimated Total Cost less Current Balance</t>
  </si>
  <si>
    <t>Annual Funding = Balance Needed divided by the Remain Life (plus current year)</t>
  </si>
  <si>
    <t>Many factors can affect future costs.  This reserve projection is based on information available</t>
  </si>
  <si>
    <t>at this time.  Information has been obtained from contractors and costs associated with similar</t>
  </si>
  <si>
    <t>replacements.</t>
  </si>
  <si>
    <t>Pool Permit</t>
  </si>
  <si>
    <t>Corp Report</t>
  </si>
  <si>
    <t>Contingency</t>
  </si>
  <si>
    <t>Clubhouse</t>
  </si>
  <si>
    <t>Increase</t>
  </si>
  <si>
    <t>Grounds Maint.</t>
  </si>
  <si>
    <t>Decrease</t>
  </si>
  <si>
    <t xml:space="preserve">Decrease </t>
  </si>
  <si>
    <t>2025 Budget</t>
  </si>
  <si>
    <t>Projected 2025</t>
  </si>
  <si>
    <t>2026 BUDGET</t>
  </si>
  <si>
    <t>Balance at 12/2025</t>
  </si>
  <si>
    <t xml:space="preserve">2026 Required </t>
  </si>
  <si>
    <t>*Decreasaed Audit not requried until 2026 tax Audit</t>
  </si>
  <si>
    <t xml:space="preserve">*increase? </t>
  </si>
  <si>
    <t>Increase 5%</t>
  </si>
  <si>
    <t>misc Ad Expense</t>
  </si>
  <si>
    <t>Decrease??</t>
  </si>
  <si>
    <t xml:space="preserve"> Increase ??</t>
  </si>
  <si>
    <t xml:space="preserve">Decrease?? Based on history </t>
  </si>
  <si>
    <t>Increased, but don't know what it will be this yea</t>
  </si>
  <si>
    <t>Do we leave in for hurricane , emergency repairs?</t>
  </si>
  <si>
    <t>Took out paving proposal for 2025 $80,000</t>
  </si>
  <si>
    <t>Increase??</t>
  </si>
  <si>
    <t>Should we increase building reserves Replacment cost… I don’t think we will have much left</t>
  </si>
  <si>
    <t>Reserves went down.. Do we want to increaes.. This is just based on schedule.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</si>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</sst>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Courie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name val="Courie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39" fontId="0" fillId="0" borderId="0"/>
  </cellStyleXfs>
  <cellXfs count="41">
    <xf numFmtId="39" fontId="0" fillId="0" borderId="0" xfId="0"/>
    <xf numFmtId="39" fontId="2" fillId="0" borderId="0" xfId="0" applyFont="1"/>
    <xf numFmtId="39" fontId="2" fillId="0" borderId="0" xfId="0" applyFont="1" applyAlignment="1">
      <alignment horizontal="left"/>
    </xf>
    <xf numFmtId="39" fontId="3" fillId="0" borderId="0" xfId="0" applyFont="1" applyAlignment="1">
      <alignment horizontal="right"/>
    </xf>
    <xf numFmtId="39" fontId="2" fillId="0" borderId="0" xfId="0" applyFont="1" applyAlignment="1">
      <alignment horizontal="right"/>
    </xf>
    <xf numFmtId="39" fontId="3" fillId="0" borderId="0" xfId="0" applyFont="1" applyAlignment="1">
      <alignment horizontal="left"/>
    </xf>
    <xf numFmtId="39" fontId="3" fillId="0" borderId="0" xfId="0" applyFont="1"/>
    <xf numFmtId="39" fontId="4" fillId="0" borderId="0" xfId="0" applyFont="1" applyAlignment="1">
      <alignment horizontal="left"/>
    </xf>
    <xf numFmtId="39" fontId="4" fillId="0" borderId="0" xfId="0" applyFont="1"/>
    <xf numFmtId="39" fontId="2" fillId="2" borderId="0" xfId="0" applyFont="1" applyFill="1"/>
    <xf numFmtId="39" fontId="1" fillId="0" borderId="0" xfId="0" applyFont="1"/>
    <xf numFmtId="39" fontId="5" fillId="0" borderId="0" xfId="0" applyFont="1"/>
    <xf numFmtId="39" fontId="5" fillId="0" borderId="1" xfId="0" applyFont="1" applyBorder="1"/>
    <xf numFmtId="39" fontId="5" fillId="0" borderId="2" xfId="0" applyFont="1" applyBorder="1"/>
    <xf numFmtId="39" fontId="0" fillId="0" borderId="3" xfId="0" applyBorder="1"/>
    <xf numFmtId="39" fontId="5" fillId="0" borderId="4" xfId="0" applyFont="1" applyBorder="1"/>
    <xf numFmtId="39" fontId="0" fillId="0" borderId="5" xfId="0" applyBorder="1"/>
    <xf numFmtId="39" fontId="0" fillId="0" borderId="4" xfId="0" applyBorder="1"/>
    <xf numFmtId="39" fontId="0" fillId="0" borderId="6" xfId="0" applyBorder="1"/>
    <xf numFmtId="39" fontId="0" fillId="0" borderId="7" xfId="0" applyBorder="1"/>
    <xf numFmtId="39" fontId="0" fillId="0" borderId="8" xfId="0" applyBorder="1"/>
    <xf numFmtId="39" fontId="5" fillId="3" borderId="2" xfId="0" applyFont="1" applyFill="1" applyBorder="1"/>
    <xf numFmtId="39" fontId="0" fillId="3" borderId="0" xfId="0" applyFill="1"/>
    <xf numFmtId="39" fontId="1" fillId="2" borderId="0" xfId="0" applyFont="1" applyFill="1"/>
    <xf numFmtId="39" fontId="3" fillId="0" borderId="0" xfId="0" applyFont="1" applyAlignment="1">
      <alignment horizontal="right" wrapText="1"/>
    </xf>
    <xf numFmtId="39" fontId="0" fillId="2" borderId="0" xfId="0" applyFill="1"/>
    <xf numFmtId="39" fontId="1" fillId="4" borderId="0" xfId="0" applyFont="1" applyFill="1"/>
    <xf numFmtId="39" fontId="1" fillId="0" borderId="0" xfId="0" applyFont="1" applyAlignment="1">
      <alignment horizontal="left"/>
    </xf>
    <xf numFmtId="39" fontId="2" fillId="3" borderId="0" xfId="0" applyFont="1" applyFill="1"/>
    <xf numFmtId="39" fontId="3" fillId="2" borderId="0" xfId="0" applyFont="1" applyFill="1"/>
    <xf numFmtId="39" fontId="1" fillId="2" borderId="0" xfId="0" applyFont="1" applyFill="1" applyAlignment="1">
      <alignment horizontal="left"/>
    </xf>
    <xf numFmtId="39" fontId="3" fillId="2" borderId="0" xfId="0" applyFont="1" applyFill="1" applyAlignment="1">
      <alignment horizontal="left"/>
    </xf>
    <xf numFmtId="39" fontId="2" fillId="2" borderId="0" xfId="0" applyFont="1" applyFill="1" applyAlignment="1">
      <alignment horizontal="left"/>
    </xf>
    <xf numFmtId="39" fontId="5" fillId="3" borderId="0" xfId="0" applyFont="1" applyFill="1"/>
    <xf numFmtId="39" fontId="2" fillId="4" borderId="0" xfId="0" applyFont="1" applyFill="1"/>
    <xf numFmtId="39" fontId="1" fillId="3" borderId="0" xfId="0" applyFont="1" applyFill="1"/>
    <xf numFmtId="39" fontId="5" fillId="2" borderId="0" xfId="0" applyFont="1" applyFill="1"/>
    <xf numFmtId="39" fontId="5" fillId="5" borderId="0" xfId="0" applyFont="1" applyFill="1"/>
    <xf numFmtId="39" fontId="1" fillId="0" borderId="0" xfId="0" applyFont="1" applyAlignment="1">
      <alignment horizontal="left"/>
    </xf>
    <xf numFmtId="39" fontId="0" fillId="0" borderId="0" xfId="0"/>
    <xf numFmtId="39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W98"/>
  <sheetViews>
    <sheetView showGridLines="0" tabSelected="1" zoomScaleNormal="100" workbookViewId="0">
      <selection activeCell="F17" sqref="F17"/>
    </sheetView>
  </sheetViews>
  <sheetFormatPr defaultColWidth="9.625" defaultRowHeight="14.1" customHeight="1" x14ac:dyDescent="0.2"/>
  <cols>
    <col min="1" max="1" width="19.25" style="2" customWidth="1"/>
    <col min="2" max="2" width="2" style="1" customWidth="1"/>
    <col min="3" max="3" width="1.25" style="1" hidden="1" customWidth="1"/>
    <col min="4" max="4" width="2" style="1" hidden="1" customWidth="1"/>
    <col min="5" max="5" width="8.5" customWidth="1"/>
    <col min="6" max="6" width="12.5" style="1" customWidth="1"/>
    <col min="7" max="7" width="4.75" style="1" customWidth="1"/>
    <col min="8" max="8" width="15.375" style="1" customWidth="1"/>
    <col min="9" max="9" width="5.875" style="1" customWidth="1"/>
    <col min="10" max="10" width="15.5" style="1" customWidth="1"/>
    <col min="11" max="15" width="9.625" style="1" hidden="1" customWidth="1"/>
    <col min="16" max="17" width="0" style="1" hidden="1" customWidth="1"/>
    <col min="18" max="19" width="10.75" style="1" hidden="1" customWidth="1"/>
    <col min="20" max="21" width="0" style="1" hidden="1" customWidth="1"/>
    <col min="22" max="16384" width="9.625" style="1"/>
  </cols>
  <sheetData>
    <row r="1" spans="1:23" s="3" customFormat="1" ht="30" customHeight="1" x14ac:dyDescent="0.2">
      <c r="A1" s="4"/>
      <c r="F1" s="3" t="s">
        <v>105</v>
      </c>
      <c r="H1" s="24" t="s">
        <v>106</v>
      </c>
      <c r="J1" s="3" t="s">
        <v>107</v>
      </c>
    </row>
    <row r="2" spans="1:23" ht="14.1" customHeight="1" x14ac:dyDescent="0.2">
      <c r="A2" s="2" t="s">
        <v>28</v>
      </c>
      <c r="F2" s="10">
        <v>550</v>
      </c>
      <c r="H2" s="1">
        <v>550</v>
      </c>
      <c r="J2" s="1">
        <f>J4/12</f>
        <v>584.99976686507932</v>
      </c>
      <c r="P2" s="9"/>
      <c r="Q2" s="9"/>
      <c r="R2" s="23"/>
      <c r="S2" s="9"/>
      <c r="T2" s="9"/>
      <c r="U2" s="9"/>
    </row>
    <row r="3" spans="1:23" ht="14.1" customHeight="1" x14ac:dyDescent="0.2">
      <c r="A3" s="2" t="s">
        <v>29</v>
      </c>
      <c r="P3" s="9"/>
      <c r="Q3" s="9"/>
      <c r="R3" s="9"/>
      <c r="S3" s="9"/>
      <c r="T3" s="9"/>
      <c r="U3" s="9"/>
    </row>
    <row r="4" spans="1:23" ht="14.1" customHeight="1" x14ac:dyDescent="0.2">
      <c r="A4" s="2" t="s">
        <v>0</v>
      </c>
      <c r="F4" s="1">
        <v>6600</v>
      </c>
      <c r="H4" s="1">
        <f>H2*12</f>
        <v>6600</v>
      </c>
      <c r="J4" s="1">
        <f>(J19)/168</f>
        <v>7019.9972023809523</v>
      </c>
      <c r="P4" s="9"/>
      <c r="Q4" s="9"/>
      <c r="R4" s="9"/>
      <c r="S4" s="9"/>
      <c r="T4" s="9"/>
      <c r="U4" s="9"/>
    </row>
    <row r="5" spans="1:23" ht="14.1" customHeight="1" x14ac:dyDescent="0.2">
      <c r="A5" s="2" t="s">
        <v>1</v>
      </c>
      <c r="F5" s="2"/>
      <c r="J5" s="2"/>
      <c r="P5" s="9"/>
      <c r="Q5" s="9"/>
      <c r="R5" s="9"/>
      <c r="S5" s="9"/>
      <c r="T5" s="9"/>
      <c r="U5" s="9"/>
    </row>
    <row r="6" spans="1:23" ht="6" customHeight="1" x14ac:dyDescent="0.2">
      <c r="F6" s="2"/>
      <c r="J6" s="2"/>
      <c r="P6" s="9"/>
      <c r="Q6" s="9"/>
      <c r="R6" s="9"/>
      <c r="S6" s="9"/>
      <c r="T6" s="9"/>
      <c r="U6" s="9"/>
    </row>
    <row r="7" spans="1:23" ht="14.1" customHeight="1" x14ac:dyDescent="0.2">
      <c r="A7" s="2" t="s">
        <v>2</v>
      </c>
      <c r="P7" s="9"/>
      <c r="Q7" s="9"/>
      <c r="R7" s="9"/>
      <c r="S7" s="9"/>
      <c r="T7" s="9"/>
      <c r="U7" s="9"/>
    </row>
    <row r="8" spans="1:23" ht="7.15" customHeight="1" x14ac:dyDescent="0.2">
      <c r="P8" s="9"/>
      <c r="Q8" s="9"/>
      <c r="R8" s="9"/>
      <c r="S8" s="9"/>
      <c r="T8" s="9"/>
      <c r="U8" s="9"/>
    </row>
    <row r="9" spans="1:23" ht="14.1" customHeight="1" x14ac:dyDescent="0.2">
      <c r="A9" s="2" t="s">
        <v>3</v>
      </c>
      <c r="P9" s="9"/>
      <c r="Q9" s="9"/>
      <c r="R9" s="9"/>
      <c r="S9" s="9"/>
      <c r="T9" s="9"/>
      <c r="U9" s="9"/>
    </row>
    <row r="10" spans="1:23" ht="14.1" customHeight="1" x14ac:dyDescent="0.2">
      <c r="A10" s="30" t="s">
        <v>34</v>
      </c>
      <c r="B10" s="9"/>
      <c r="C10" s="9"/>
      <c r="D10" s="9"/>
      <c r="E10" s="25"/>
      <c r="F10" s="9">
        <v>927680</v>
      </c>
      <c r="G10" s="9"/>
      <c r="H10" s="9">
        <f>F10</f>
        <v>927680</v>
      </c>
      <c r="I10" s="9"/>
      <c r="J10" s="1">
        <f>SUM(J76+J69+J57+J30-J11)</f>
        <v>957069.53</v>
      </c>
      <c r="P10" s="9"/>
      <c r="Q10" s="9"/>
      <c r="R10" s="23"/>
      <c r="S10" s="9"/>
      <c r="T10" s="9"/>
      <c r="U10" s="9"/>
      <c r="V10" s="9"/>
      <c r="W10" s="9"/>
    </row>
    <row r="11" spans="1:23" ht="14.1" customHeight="1" x14ac:dyDescent="0.2">
      <c r="A11" s="30" t="s">
        <v>33</v>
      </c>
      <c r="B11" s="9"/>
      <c r="C11" s="9"/>
      <c r="D11" s="9"/>
      <c r="E11" s="25"/>
      <c r="F11" s="9">
        <v>2800</v>
      </c>
      <c r="G11" s="9"/>
      <c r="H11" s="23">
        <v>2800</v>
      </c>
      <c r="I11" s="9"/>
      <c r="J11" s="1">
        <v>50</v>
      </c>
      <c r="P11" s="9"/>
      <c r="Q11" s="9"/>
      <c r="R11" s="9"/>
      <c r="S11" s="9"/>
      <c r="T11" s="9"/>
      <c r="U11" s="9"/>
    </row>
    <row r="12" spans="1:23" s="6" customFormat="1" ht="14.1" customHeight="1" x14ac:dyDescent="0.2">
      <c r="A12" s="31" t="s">
        <v>4</v>
      </c>
      <c r="B12" s="29"/>
      <c r="C12" s="29"/>
      <c r="D12" s="29"/>
      <c r="E12" s="29"/>
      <c r="F12" s="29">
        <v>930480</v>
      </c>
      <c r="G12" s="29"/>
      <c r="H12" s="29">
        <f>SUM(H10:H11)</f>
        <v>930480</v>
      </c>
      <c r="I12" s="29"/>
      <c r="J12" s="6">
        <f>SUM(J10+J11)</f>
        <v>957119.53</v>
      </c>
      <c r="P12" s="29"/>
      <c r="Q12" s="29"/>
      <c r="R12" s="29"/>
      <c r="S12" s="29"/>
      <c r="T12" s="29"/>
      <c r="U12" s="29"/>
    </row>
    <row r="13" spans="1:23" s="6" customFormat="1" ht="14.1" customHeight="1" x14ac:dyDescent="0.2">
      <c r="A13" s="31"/>
      <c r="B13" s="29"/>
      <c r="C13" s="29"/>
      <c r="D13" s="29"/>
      <c r="E13" s="29"/>
      <c r="F13" s="29"/>
      <c r="G13" s="29"/>
      <c r="H13" s="29"/>
      <c r="I13" s="29"/>
      <c r="P13" s="29"/>
      <c r="Q13" s="29"/>
      <c r="R13" s="29"/>
      <c r="S13" s="29"/>
      <c r="T13" s="29"/>
      <c r="U13" s="29"/>
    </row>
    <row r="14" spans="1:23" ht="14.1" customHeight="1" x14ac:dyDescent="0.2">
      <c r="A14" s="32" t="s">
        <v>5</v>
      </c>
      <c r="B14" s="9"/>
      <c r="C14" s="9"/>
      <c r="D14" s="9"/>
      <c r="E14" s="25"/>
      <c r="F14" s="9"/>
      <c r="G14" s="9"/>
      <c r="H14" s="9"/>
      <c r="I14" s="9"/>
      <c r="P14" s="9"/>
      <c r="Q14" s="9"/>
      <c r="R14" s="9"/>
      <c r="S14" s="9"/>
      <c r="T14" s="9"/>
      <c r="U14" s="9"/>
    </row>
    <row r="15" spans="1:23" ht="14.1" customHeight="1" x14ac:dyDescent="0.2">
      <c r="A15" s="30" t="s">
        <v>32</v>
      </c>
      <c r="B15" s="9"/>
      <c r="C15" s="9"/>
      <c r="D15" s="9"/>
      <c r="E15" s="25"/>
      <c r="F15" s="9">
        <v>181120</v>
      </c>
      <c r="G15" s="9"/>
      <c r="H15" s="9">
        <f>F15</f>
        <v>181120</v>
      </c>
      <c r="I15" s="9"/>
      <c r="J15" s="1">
        <f>J89-J16</f>
        <v>221240</v>
      </c>
      <c r="L15" s="35" t="s">
        <v>122</v>
      </c>
      <c r="M15" s="28"/>
      <c r="N15" s="28"/>
      <c r="O15" s="28"/>
      <c r="P15" s="28"/>
      <c r="Q15" s="28"/>
      <c r="R15" s="35"/>
      <c r="S15" s="9"/>
      <c r="T15" s="9"/>
      <c r="U15" s="9"/>
    </row>
    <row r="16" spans="1:23" ht="14.1" customHeight="1" x14ac:dyDescent="0.2">
      <c r="A16" s="27" t="s">
        <v>31</v>
      </c>
      <c r="F16" s="1">
        <v>0</v>
      </c>
      <c r="H16" s="1">
        <v>1000</v>
      </c>
      <c r="J16" s="1">
        <v>1000</v>
      </c>
      <c r="K16" s="10"/>
      <c r="L16" s="28"/>
      <c r="M16" s="28"/>
      <c r="N16" s="28"/>
      <c r="O16" s="28"/>
      <c r="P16" s="28"/>
      <c r="Q16" s="28"/>
      <c r="R16" s="28"/>
      <c r="S16" s="9"/>
      <c r="T16" s="9"/>
      <c r="U16" s="9"/>
    </row>
    <row r="17" spans="1:21" ht="14.1" customHeight="1" x14ac:dyDescent="0.2">
      <c r="A17" s="5" t="s">
        <v>6</v>
      </c>
      <c r="F17" s="6">
        <v>181120</v>
      </c>
      <c r="H17" s="6">
        <f>SUM(H15:H16)</f>
        <v>182120</v>
      </c>
      <c r="J17" s="6">
        <f>SUM(J15+J16)</f>
        <v>222240</v>
      </c>
      <c r="P17" s="9"/>
      <c r="Q17" s="9"/>
      <c r="R17" s="23"/>
      <c r="S17" s="9"/>
      <c r="T17" s="23"/>
      <c r="U17" s="9"/>
    </row>
    <row r="18" spans="1:21" ht="14.1" customHeight="1" x14ac:dyDescent="0.2">
      <c r="A18" s="5"/>
      <c r="F18" s="6"/>
      <c r="H18" s="6"/>
      <c r="J18" s="6"/>
      <c r="P18" s="9"/>
      <c r="Q18" s="9"/>
      <c r="R18" s="9"/>
      <c r="S18" s="9"/>
      <c r="T18" s="9"/>
      <c r="U18" s="9"/>
    </row>
    <row r="19" spans="1:21" s="6" customFormat="1" ht="14.1" customHeight="1" x14ac:dyDescent="0.2">
      <c r="A19" s="5" t="s">
        <v>7</v>
      </c>
      <c r="F19" s="6">
        <v>1108800</v>
      </c>
      <c r="H19" s="6">
        <f>H12+H17</f>
        <v>1112600</v>
      </c>
      <c r="J19" s="6">
        <f>J12+J17</f>
        <v>1179359.53</v>
      </c>
      <c r="P19" s="29"/>
      <c r="Q19" s="29"/>
      <c r="R19" s="29"/>
      <c r="S19" s="29"/>
      <c r="T19" s="29"/>
      <c r="U19" s="29"/>
    </row>
    <row r="20" spans="1:21" s="6" customFormat="1" ht="6.6" customHeight="1" x14ac:dyDescent="0.2">
      <c r="A20" s="5"/>
      <c r="P20" s="29"/>
      <c r="Q20" s="29"/>
      <c r="R20" s="29"/>
      <c r="S20" s="29"/>
      <c r="T20" s="29"/>
      <c r="U20" s="29"/>
    </row>
    <row r="21" spans="1:21" ht="14.1" customHeight="1" x14ac:dyDescent="0.2">
      <c r="A21" s="2" t="s">
        <v>26</v>
      </c>
      <c r="P21" s="9"/>
      <c r="Q21" s="9"/>
      <c r="R21" s="9"/>
      <c r="S21" s="9"/>
      <c r="T21" s="9"/>
      <c r="U21" s="9"/>
    </row>
    <row r="22" spans="1:21" ht="6" customHeight="1" x14ac:dyDescent="0.2"/>
    <row r="23" spans="1:21" ht="14.1" customHeight="1" x14ac:dyDescent="0.2">
      <c r="A23" s="2" t="s">
        <v>27</v>
      </c>
    </row>
    <row r="24" spans="1:21" ht="14.1" customHeight="1" x14ac:dyDescent="0.2">
      <c r="A24" s="27" t="s">
        <v>35</v>
      </c>
      <c r="F24" s="1">
        <v>12000</v>
      </c>
      <c r="H24" s="1">
        <v>7250</v>
      </c>
      <c r="J24" s="1">
        <v>7500</v>
      </c>
      <c r="K24" s="10" t="s">
        <v>110</v>
      </c>
    </row>
    <row r="25" spans="1:21" ht="14.1" customHeight="1" x14ac:dyDescent="0.2">
      <c r="A25" s="27" t="s">
        <v>36</v>
      </c>
      <c r="F25" s="1">
        <v>2500</v>
      </c>
      <c r="H25" s="1">
        <v>2000</v>
      </c>
      <c r="J25" s="1">
        <v>2500</v>
      </c>
      <c r="K25" s="23"/>
      <c r="L25" s="9"/>
    </row>
    <row r="26" spans="1:21" ht="14.1" customHeight="1" x14ac:dyDescent="0.2">
      <c r="A26" s="27" t="s">
        <v>37</v>
      </c>
      <c r="F26" s="1">
        <v>900</v>
      </c>
      <c r="H26" s="1">
        <v>200</v>
      </c>
      <c r="J26" s="1">
        <v>900</v>
      </c>
      <c r="K26" s="9"/>
      <c r="L26" s="9"/>
    </row>
    <row r="27" spans="1:21" ht="14.1" customHeight="1" x14ac:dyDescent="0.2">
      <c r="A27" s="27" t="s">
        <v>38</v>
      </c>
      <c r="F27" s="1">
        <v>2000</v>
      </c>
      <c r="H27" s="40">
        <v>3219</v>
      </c>
      <c r="J27" s="1">
        <v>3000</v>
      </c>
      <c r="K27" s="23" t="s">
        <v>111</v>
      </c>
      <c r="L27" s="9"/>
    </row>
    <row r="28" spans="1:21" ht="14.1" customHeight="1" x14ac:dyDescent="0.2">
      <c r="A28" s="27" t="s">
        <v>39</v>
      </c>
      <c r="F28" s="1">
        <v>19920</v>
      </c>
      <c r="H28" s="1">
        <v>19920</v>
      </c>
      <c r="J28" s="1">
        <v>20916</v>
      </c>
      <c r="K28" s="23" t="s">
        <v>112</v>
      </c>
      <c r="L28" s="9"/>
    </row>
    <row r="29" spans="1:21" ht="14.1" customHeight="1" x14ac:dyDescent="0.2">
      <c r="A29" s="27" t="s">
        <v>113</v>
      </c>
      <c r="F29" s="1">
        <v>1400</v>
      </c>
      <c r="H29" s="1">
        <v>676</v>
      </c>
      <c r="J29" s="1">
        <v>1400</v>
      </c>
    </row>
    <row r="30" spans="1:21" ht="14.1" customHeight="1" x14ac:dyDescent="0.2">
      <c r="A30" s="2" t="s">
        <v>8</v>
      </c>
      <c r="F30" s="1">
        <v>38720</v>
      </c>
      <c r="H30" s="1">
        <f>SUM(H24:H29)</f>
        <v>33265</v>
      </c>
      <c r="J30" s="1">
        <f>SUM(J24:J29)</f>
        <v>36216</v>
      </c>
    </row>
    <row r="32" spans="1:21" ht="14.1" customHeight="1" x14ac:dyDescent="0.2">
      <c r="A32" s="2" t="s">
        <v>9</v>
      </c>
    </row>
    <row r="33" spans="1:16" ht="14.1" customHeight="1" x14ac:dyDescent="0.2">
      <c r="A33" s="27" t="s">
        <v>40</v>
      </c>
      <c r="F33" s="1">
        <v>1500</v>
      </c>
      <c r="H33" s="1">
        <v>244</v>
      </c>
      <c r="J33" s="1">
        <v>1500</v>
      </c>
      <c r="K33" s="9"/>
      <c r="L33" s="9"/>
    </row>
    <row r="34" spans="1:16" ht="14.1" customHeight="1" x14ac:dyDescent="0.2">
      <c r="A34" s="27" t="s">
        <v>41</v>
      </c>
      <c r="F34" s="1">
        <v>1000</v>
      </c>
      <c r="H34" s="1">
        <v>0</v>
      </c>
      <c r="J34" s="1">
        <v>500</v>
      </c>
      <c r="K34" s="23"/>
      <c r="L34" s="9"/>
    </row>
    <row r="35" spans="1:16" ht="14.1" customHeight="1" x14ac:dyDescent="0.2">
      <c r="A35" s="27" t="s">
        <v>42</v>
      </c>
      <c r="F35" s="1">
        <v>1800</v>
      </c>
      <c r="H35" s="1">
        <v>1044</v>
      </c>
      <c r="J35" s="1">
        <v>1000</v>
      </c>
      <c r="K35" s="23"/>
      <c r="L35" s="9"/>
    </row>
    <row r="36" spans="1:16" ht="14.1" customHeight="1" x14ac:dyDescent="0.2">
      <c r="A36" s="27" t="s">
        <v>43</v>
      </c>
      <c r="F36" s="1">
        <v>15000</v>
      </c>
      <c r="H36" s="1">
        <v>13476</v>
      </c>
      <c r="J36" s="1">
        <v>15000</v>
      </c>
      <c r="K36" s="23"/>
      <c r="L36" s="9"/>
    </row>
    <row r="37" spans="1:16" ht="14.1" customHeight="1" x14ac:dyDescent="0.2">
      <c r="A37" s="27" t="s">
        <v>44</v>
      </c>
      <c r="F37" s="1">
        <v>1000</v>
      </c>
      <c r="H37" s="1">
        <v>637</v>
      </c>
      <c r="J37" s="1">
        <v>1000</v>
      </c>
      <c r="K37" s="23"/>
      <c r="L37" s="9"/>
    </row>
    <row r="38" spans="1:16" ht="14.1" customHeight="1" x14ac:dyDescent="0.2">
      <c r="A38" s="27" t="s">
        <v>102</v>
      </c>
      <c r="F38" s="1">
        <v>52000</v>
      </c>
      <c r="H38" s="1">
        <v>48000</v>
      </c>
      <c r="J38" s="1">
        <v>52000</v>
      </c>
      <c r="K38" s="10"/>
      <c r="L38" s="9"/>
    </row>
    <row r="39" spans="1:16" ht="14.1" customHeight="1" x14ac:dyDescent="0.2">
      <c r="A39" s="27" t="s">
        <v>45</v>
      </c>
      <c r="F39" s="1">
        <v>7000</v>
      </c>
      <c r="H39" s="1">
        <v>8800</v>
      </c>
      <c r="J39" s="1">
        <v>7500</v>
      </c>
      <c r="K39" s="9"/>
      <c r="L39" s="9"/>
    </row>
    <row r="40" spans="1:16" ht="14.1" customHeight="1" x14ac:dyDescent="0.2">
      <c r="A40" s="27" t="s">
        <v>46</v>
      </c>
      <c r="F40" s="1">
        <v>12000</v>
      </c>
      <c r="H40" s="1">
        <v>0</v>
      </c>
      <c r="J40" s="1">
        <v>13000</v>
      </c>
      <c r="K40" s="35" t="s">
        <v>101</v>
      </c>
      <c r="L40" s="9"/>
      <c r="P40" s="10" t="s">
        <v>104</v>
      </c>
    </row>
    <row r="41" spans="1:16" ht="14.1" customHeight="1" x14ac:dyDescent="0.2">
      <c r="A41" s="27" t="s">
        <v>47</v>
      </c>
      <c r="F41" s="1">
        <v>10000</v>
      </c>
      <c r="H41" s="1">
        <v>0</v>
      </c>
      <c r="J41" s="1">
        <v>2000</v>
      </c>
      <c r="K41" s="10"/>
      <c r="L41" s="9"/>
    </row>
    <row r="42" spans="1:16" ht="14.1" customHeight="1" x14ac:dyDescent="0.2">
      <c r="A42" s="27" t="s">
        <v>48</v>
      </c>
      <c r="F42" s="1">
        <v>9000</v>
      </c>
      <c r="H42" s="1">
        <v>0</v>
      </c>
      <c r="J42" s="1">
        <v>10000</v>
      </c>
      <c r="K42" s="9"/>
      <c r="L42" s="9"/>
    </row>
    <row r="43" spans="1:16" ht="14.1" customHeight="1" x14ac:dyDescent="0.2">
      <c r="A43" s="27" t="s">
        <v>49</v>
      </c>
      <c r="F43" s="1">
        <v>7000</v>
      </c>
      <c r="H43" s="1">
        <v>6724</v>
      </c>
      <c r="J43" s="1">
        <v>8000</v>
      </c>
      <c r="K43" s="9"/>
      <c r="L43" s="9"/>
    </row>
    <row r="44" spans="1:16" ht="14.1" customHeight="1" x14ac:dyDescent="0.2">
      <c r="A44" s="27" t="s">
        <v>50</v>
      </c>
      <c r="F44" s="1">
        <v>7000</v>
      </c>
      <c r="H44" s="1">
        <v>1400</v>
      </c>
      <c r="J44" s="1">
        <v>7000</v>
      </c>
      <c r="K44" s="26" t="s">
        <v>114</v>
      </c>
      <c r="L44" s="9"/>
      <c r="P44" s="10" t="s">
        <v>103</v>
      </c>
    </row>
    <row r="45" spans="1:16" ht="14.1" customHeight="1" x14ac:dyDescent="0.2">
      <c r="A45" s="27" t="s">
        <v>51</v>
      </c>
      <c r="F45" s="1">
        <v>3000</v>
      </c>
      <c r="H45" s="1">
        <v>1560</v>
      </c>
      <c r="J45" s="1">
        <v>16500</v>
      </c>
      <c r="K45" s="23"/>
      <c r="L45" s="9"/>
    </row>
    <row r="46" spans="1:16" ht="14.1" customHeight="1" x14ac:dyDescent="0.2">
      <c r="A46" s="27" t="s">
        <v>52</v>
      </c>
      <c r="F46" s="1">
        <v>2500</v>
      </c>
      <c r="H46" s="1">
        <v>1000</v>
      </c>
      <c r="J46" s="1">
        <v>2500</v>
      </c>
      <c r="K46" s="9"/>
      <c r="L46" s="9"/>
    </row>
    <row r="47" spans="1:16" ht="14.1" customHeight="1" x14ac:dyDescent="0.2">
      <c r="A47" s="27" t="s">
        <v>53</v>
      </c>
      <c r="F47" s="1">
        <v>1500</v>
      </c>
      <c r="H47" s="1">
        <v>500</v>
      </c>
      <c r="J47" s="1">
        <v>1500</v>
      </c>
      <c r="K47" s="23"/>
      <c r="L47" s="9"/>
    </row>
    <row r="48" spans="1:16" ht="14.1" customHeight="1" x14ac:dyDescent="0.2">
      <c r="A48" s="27" t="s">
        <v>54</v>
      </c>
      <c r="F48" s="1">
        <v>7000</v>
      </c>
      <c r="H48" s="1">
        <v>13909</v>
      </c>
      <c r="J48" s="1">
        <v>10000</v>
      </c>
      <c r="K48" s="35" t="s">
        <v>115</v>
      </c>
    </row>
    <row r="49" spans="1:13" ht="14.1" customHeight="1" x14ac:dyDescent="0.2">
      <c r="A49" s="27" t="s">
        <v>55</v>
      </c>
      <c r="F49" s="1">
        <v>15000</v>
      </c>
      <c r="H49" s="1">
        <v>27818</v>
      </c>
      <c r="J49" s="1">
        <v>15000</v>
      </c>
      <c r="K49" s="35" t="s">
        <v>115</v>
      </c>
    </row>
    <row r="50" spans="1:13" ht="14.1" customHeight="1" x14ac:dyDescent="0.2">
      <c r="A50" s="27" t="s">
        <v>56</v>
      </c>
      <c r="F50" s="1">
        <v>3000</v>
      </c>
      <c r="H50" s="1">
        <v>200</v>
      </c>
      <c r="J50" s="1">
        <v>3000</v>
      </c>
      <c r="K50" s="10"/>
    </row>
    <row r="51" spans="1:13" ht="14.1" customHeight="1" x14ac:dyDescent="0.2">
      <c r="A51" s="27" t="s">
        <v>57</v>
      </c>
      <c r="F51" s="1">
        <v>25000</v>
      </c>
      <c r="H51" s="1">
        <v>30000</v>
      </c>
      <c r="J51" s="1">
        <v>40080</v>
      </c>
      <c r="K51" s="35" t="s">
        <v>120</v>
      </c>
    </row>
    <row r="52" spans="1:13" ht="14.1" customHeight="1" x14ac:dyDescent="0.2">
      <c r="A52" s="27" t="s">
        <v>58</v>
      </c>
      <c r="F52" s="1">
        <v>5000</v>
      </c>
      <c r="H52" s="1">
        <v>2500</v>
      </c>
      <c r="J52" s="1">
        <v>5000</v>
      </c>
    </row>
    <row r="53" spans="1:13" ht="14.1" customHeight="1" x14ac:dyDescent="0.2">
      <c r="A53" s="27" t="s">
        <v>59</v>
      </c>
      <c r="F53" s="1">
        <v>400</v>
      </c>
      <c r="H53" s="1">
        <v>350</v>
      </c>
      <c r="J53" s="1">
        <v>1200</v>
      </c>
    </row>
    <row r="54" spans="1:13" ht="14.1" customHeight="1" x14ac:dyDescent="0.2">
      <c r="A54" s="27" t="s">
        <v>60</v>
      </c>
      <c r="F54" s="1">
        <v>500</v>
      </c>
      <c r="H54" s="1">
        <v>200</v>
      </c>
      <c r="J54" s="1">
        <v>500</v>
      </c>
    </row>
    <row r="55" spans="1:13" ht="14.1" customHeight="1" x14ac:dyDescent="0.2">
      <c r="A55" s="27" t="s">
        <v>72</v>
      </c>
      <c r="F55" s="1">
        <v>0</v>
      </c>
      <c r="H55" s="1">
        <v>0</v>
      </c>
      <c r="J55" s="1">
        <v>0</v>
      </c>
    </row>
    <row r="56" spans="1:13" ht="14.1" customHeight="1" x14ac:dyDescent="0.2">
      <c r="A56" s="27" t="s">
        <v>61</v>
      </c>
      <c r="F56" s="1">
        <v>91900</v>
      </c>
      <c r="H56" s="1">
        <v>91000</v>
      </c>
      <c r="J56" s="1">
        <v>98155.199999999997</v>
      </c>
      <c r="K56" s="26" t="s">
        <v>116</v>
      </c>
      <c r="L56" s="34"/>
      <c r="M56" s="34"/>
    </row>
    <row r="57" spans="1:13" ht="14.1" customHeight="1" x14ac:dyDescent="0.2">
      <c r="A57" s="2" t="s">
        <v>10</v>
      </c>
      <c r="F57" s="1">
        <v>279100</v>
      </c>
      <c r="H57" s="1">
        <v>234848</v>
      </c>
      <c r="J57" s="1">
        <f>SUM(J33:J56)</f>
        <v>311935.2</v>
      </c>
    </row>
    <row r="59" spans="1:13" ht="14.1" customHeight="1" x14ac:dyDescent="0.2">
      <c r="A59" s="2" t="s">
        <v>11</v>
      </c>
    </row>
    <row r="60" spans="1:13" ht="14.1" customHeight="1" x14ac:dyDescent="0.2">
      <c r="A60" s="27" t="s">
        <v>62</v>
      </c>
      <c r="F60" s="1">
        <v>300</v>
      </c>
      <c r="H60" s="1">
        <v>0</v>
      </c>
      <c r="J60" s="1">
        <v>300</v>
      </c>
    </row>
    <row r="61" spans="1:13" ht="14.1" customHeight="1" x14ac:dyDescent="0.2">
      <c r="A61" s="27" t="s">
        <v>63</v>
      </c>
      <c r="F61" s="1">
        <v>5100</v>
      </c>
      <c r="H61" s="1">
        <v>5000</v>
      </c>
      <c r="J61" s="1">
        <v>5100</v>
      </c>
    </row>
    <row r="62" spans="1:13" ht="14.1" customHeight="1" x14ac:dyDescent="0.2">
      <c r="A62" s="27" t="s">
        <v>64</v>
      </c>
      <c r="F62" s="1">
        <v>288066</v>
      </c>
      <c r="H62" s="1">
        <v>288654</v>
      </c>
      <c r="J62" s="10">
        <v>268581.33</v>
      </c>
      <c r="K62" s="10" t="s">
        <v>117</v>
      </c>
    </row>
    <row r="63" spans="1:13" ht="14.1" customHeight="1" x14ac:dyDescent="0.2">
      <c r="A63" s="27" t="s">
        <v>65</v>
      </c>
      <c r="F63" s="1">
        <v>0</v>
      </c>
      <c r="H63" s="1">
        <v>0</v>
      </c>
      <c r="J63" s="1">
        <v>0</v>
      </c>
    </row>
    <row r="64" spans="1:13" ht="15" customHeight="1" x14ac:dyDescent="0.2">
      <c r="A64" s="38" t="s">
        <v>66</v>
      </c>
      <c r="B64" s="39"/>
      <c r="F64" s="1">
        <v>700</v>
      </c>
      <c r="H64" s="1">
        <v>1000</v>
      </c>
      <c r="J64" s="1">
        <v>700</v>
      </c>
    </row>
    <row r="65" spans="1:17" ht="15" customHeight="1" x14ac:dyDescent="0.2">
      <c r="A65" s="27" t="s">
        <v>99</v>
      </c>
      <c r="B65"/>
      <c r="F65" s="1">
        <v>41856</v>
      </c>
      <c r="H65" s="1">
        <v>41856</v>
      </c>
      <c r="J65" s="1">
        <v>46797</v>
      </c>
      <c r="K65" s="10" t="s">
        <v>118</v>
      </c>
      <c r="Q65" s="1">
        <v>41856</v>
      </c>
    </row>
    <row r="66" spans="1:17" ht="15" customHeight="1" x14ac:dyDescent="0.2">
      <c r="A66" s="27" t="s">
        <v>98</v>
      </c>
      <c r="B66"/>
      <c r="F66" s="1">
        <v>100</v>
      </c>
      <c r="H66" s="1">
        <v>62</v>
      </c>
      <c r="J66" s="1">
        <v>100</v>
      </c>
    </row>
    <row r="67" spans="1:17" ht="15" customHeight="1" x14ac:dyDescent="0.2">
      <c r="A67" s="27" t="s">
        <v>67</v>
      </c>
      <c r="B67"/>
      <c r="F67" s="1">
        <v>800</v>
      </c>
      <c r="H67" s="1">
        <v>750</v>
      </c>
      <c r="J67" s="1">
        <v>800</v>
      </c>
    </row>
    <row r="68" spans="1:17" ht="15" customHeight="1" x14ac:dyDescent="0.2">
      <c r="A68" s="27" t="s">
        <v>97</v>
      </c>
      <c r="B68"/>
      <c r="F68" s="1">
        <v>1000</v>
      </c>
      <c r="H68" s="1">
        <v>1000</v>
      </c>
      <c r="J68" s="1">
        <v>1000</v>
      </c>
    </row>
    <row r="69" spans="1:17" ht="14.1" customHeight="1" x14ac:dyDescent="0.2">
      <c r="A69" s="2" t="s">
        <v>12</v>
      </c>
      <c r="F69" s="1">
        <v>337922</v>
      </c>
      <c r="H69" s="1">
        <v>213934</v>
      </c>
      <c r="J69" s="1">
        <f>SUM(J60:J68)</f>
        <v>323378.33</v>
      </c>
    </row>
    <row r="70" spans="1:17" ht="10.9" customHeight="1" x14ac:dyDescent="0.2"/>
    <row r="71" spans="1:17" ht="14.1" customHeight="1" x14ac:dyDescent="0.2">
      <c r="A71" s="2" t="s">
        <v>13</v>
      </c>
    </row>
    <row r="72" spans="1:17" ht="14.1" customHeight="1" x14ac:dyDescent="0.2">
      <c r="A72" s="27" t="s">
        <v>68</v>
      </c>
      <c r="F72" s="1">
        <v>121338</v>
      </c>
      <c r="H72" s="1">
        <v>122958</v>
      </c>
      <c r="J72" s="1">
        <v>127000</v>
      </c>
      <c r="K72" s="10" t="s">
        <v>112</v>
      </c>
      <c r="P72" s="10"/>
    </row>
    <row r="73" spans="1:17" ht="14.1" customHeight="1" x14ac:dyDescent="0.2">
      <c r="A73" s="27" t="s">
        <v>69</v>
      </c>
      <c r="F73" s="1">
        <v>18000</v>
      </c>
      <c r="H73" s="1">
        <v>18100</v>
      </c>
      <c r="J73" s="1">
        <v>18450</v>
      </c>
      <c r="P73" s="10"/>
    </row>
    <row r="74" spans="1:17" ht="14.1" customHeight="1" x14ac:dyDescent="0.2">
      <c r="A74" s="27" t="s">
        <v>70</v>
      </c>
      <c r="F74" s="1">
        <v>2600</v>
      </c>
      <c r="H74" s="1">
        <v>2638</v>
      </c>
      <c r="J74" s="1">
        <v>2860</v>
      </c>
      <c r="P74" s="10"/>
    </row>
    <row r="75" spans="1:17" ht="14.1" customHeight="1" x14ac:dyDescent="0.2">
      <c r="A75" s="27" t="s">
        <v>71</v>
      </c>
      <c r="F75" s="1">
        <v>130000</v>
      </c>
      <c r="H75" s="1">
        <v>132414</v>
      </c>
      <c r="J75" s="1">
        <v>137280</v>
      </c>
      <c r="P75" s="10"/>
    </row>
    <row r="76" spans="1:17" ht="14.1" customHeight="1" x14ac:dyDescent="0.2">
      <c r="A76" s="2" t="s">
        <v>14</v>
      </c>
      <c r="F76" s="1">
        <v>271938</v>
      </c>
      <c r="H76" s="1">
        <v>204200</v>
      </c>
      <c r="J76" s="1">
        <f>SUM(J72:J75)</f>
        <v>285590</v>
      </c>
    </row>
    <row r="77" spans="1:17" ht="8.4499999999999993" customHeight="1" x14ac:dyDescent="0.2"/>
    <row r="78" spans="1:17" s="6" customFormat="1" ht="14.1" customHeight="1" x14ac:dyDescent="0.2">
      <c r="A78" s="5" t="s">
        <v>15</v>
      </c>
      <c r="F78" s="6">
        <v>927680</v>
      </c>
      <c r="H78" s="6">
        <f>H30+H57+H69+H76</f>
        <v>686247</v>
      </c>
      <c r="J78" s="6">
        <f>J30+J57+J69+J76</f>
        <v>957119.53</v>
      </c>
    </row>
    <row r="79" spans="1:17" s="6" customFormat="1" ht="9" customHeight="1" x14ac:dyDescent="0.2">
      <c r="A79" s="5"/>
    </row>
    <row r="80" spans="1:17" ht="14.1" customHeight="1" x14ac:dyDescent="0.2">
      <c r="A80" s="2" t="s">
        <v>5</v>
      </c>
    </row>
    <row r="81" spans="1:11" ht="14.1" customHeight="1" x14ac:dyDescent="0.2">
      <c r="A81" s="2" t="s">
        <v>17</v>
      </c>
      <c r="F81" s="1">
        <v>48000</v>
      </c>
      <c r="H81" s="1">
        <v>60000</v>
      </c>
      <c r="J81" s="1">
        <f>Reserves!G3</f>
        <v>49000</v>
      </c>
    </row>
    <row r="82" spans="1:11" ht="14.1" customHeight="1" x14ac:dyDescent="0.2">
      <c r="A82" s="2" t="s">
        <v>16</v>
      </c>
      <c r="F82" s="1">
        <v>2000</v>
      </c>
      <c r="H82" s="1">
        <v>2000</v>
      </c>
      <c r="J82" s="1">
        <f>Reserves!G4</f>
        <v>3000</v>
      </c>
    </row>
    <row r="83" spans="1:11" ht="14.1" customHeight="1" x14ac:dyDescent="0.2">
      <c r="A83" s="2" t="s">
        <v>30</v>
      </c>
      <c r="F83" s="1">
        <v>92300</v>
      </c>
      <c r="H83" s="1">
        <v>9500</v>
      </c>
      <c r="J83" s="1">
        <f>Reserves!G5</f>
        <v>130740</v>
      </c>
      <c r="K83" s="10"/>
    </row>
    <row r="84" spans="1:11" ht="14.1" customHeight="1" x14ac:dyDescent="0.2">
      <c r="A84" s="2" t="s">
        <v>21</v>
      </c>
      <c r="F84" s="1">
        <v>33300</v>
      </c>
      <c r="H84" s="1">
        <v>35000</v>
      </c>
      <c r="J84" s="1">
        <f>Reserves!G6</f>
        <v>35000</v>
      </c>
    </row>
    <row r="85" spans="1:11" ht="14.1" customHeight="1" x14ac:dyDescent="0.2">
      <c r="A85" s="2" t="s">
        <v>18</v>
      </c>
      <c r="F85" s="1">
        <v>4900</v>
      </c>
      <c r="H85" s="1">
        <v>3852</v>
      </c>
      <c r="J85" s="1">
        <f>Reserves!G7</f>
        <v>4000</v>
      </c>
      <c r="K85" s="10"/>
    </row>
    <row r="86" spans="1:11" ht="14.1" customHeight="1" x14ac:dyDescent="0.2">
      <c r="A86" s="2" t="s">
        <v>20</v>
      </c>
      <c r="F86" s="1">
        <v>500</v>
      </c>
      <c r="H86" s="1">
        <v>100</v>
      </c>
      <c r="J86" s="1">
        <f>Reserves!G8</f>
        <v>100</v>
      </c>
    </row>
    <row r="87" spans="1:11" ht="14.1" customHeight="1" x14ac:dyDescent="0.2">
      <c r="A87" s="27" t="s">
        <v>100</v>
      </c>
      <c r="F87" s="1">
        <v>0</v>
      </c>
      <c r="H87" s="1">
        <v>2000</v>
      </c>
      <c r="J87" s="1">
        <f>Reserves!G9</f>
        <v>400</v>
      </c>
    </row>
    <row r="88" spans="1:11" ht="14.1" customHeight="1" x14ac:dyDescent="0.2">
      <c r="A88" s="2" t="s">
        <v>19</v>
      </c>
      <c r="F88" s="1">
        <v>100</v>
      </c>
      <c r="H88" s="1">
        <v>0</v>
      </c>
      <c r="J88" s="1" t="str">
        <f>Reserves!G10</f>
        <v>.</v>
      </c>
    </row>
    <row r="89" spans="1:11" s="6" customFormat="1" ht="14.1" customHeight="1" x14ac:dyDescent="0.2">
      <c r="A89" s="5" t="s">
        <v>22</v>
      </c>
      <c r="F89" s="6">
        <v>181120</v>
      </c>
      <c r="H89" s="6">
        <v>112452</v>
      </c>
      <c r="J89" s="6">
        <f>Reserves!G12</f>
        <v>222240</v>
      </c>
    </row>
    <row r="90" spans="1:11" s="6" customFormat="1" ht="14.1" customHeight="1" x14ac:dyDescent="0.2">
      <c r="A90" s="5"/>
    </row>
    <row r="91" spans="1:11" s="8" customFormat="1" ht="14.1" customHeight="1" x14ac:dyDescent="0.2">
      <c r="A91" s="5" t="s">
        <v>23</v>
      </c>
      <c r="F91" s="8">
        <v>1108800</v>
      </c>
      <c r="H91" s="8">
        <v>791934</v>
      </c>
      <c r="J91" s="8">
        <f>J78+J89</f>
        <v>1179359.53</v>
      </c>
    </row>
    <row r="92" spans="1:11" s="8" customFormat="1" ht="14.1" customHeight="1" x14ac:dyDescent="0.2">
      <c r="A92" s="5" t="s">
        <v>24</v>
      </c>
      <c r="F92" s="7"/>
      <c r="J92" s="7"/>
    </row>
    <row r="93" spans="1:11" s="8" customFormat="1" ht="14.1" hidden="1" customHeight="1" x14ac:dyDescent="0.2">
      <c r="A93" s="5"/>
      <c r="F93" s="7"/>
      <c r="J93" s="7"/>
    </row>
    <row r="94" spans="1:11" ht="14.1" hidden="1" customHeight="1" x14ac:dyDescent="0.2">
      <c r="A94" s="2" t="s">
        <v>25</v>
      </c>
      <c r="F94" s="1">
        <v>0</v>
      </c>
      <c r="H94" s="1">
        <v>0</v>
      </c>
      <c r="J94" s="1">
        <v>0</v>
      </c>
    </row>
    <row r="95" spans="1:11" ht="14.1" hidden="1" customHeight="1" x14ac:dyDescent="0.2"/>
    <row r="96" spans="1:11" ht="14.1" hidden="1" customHeight="1" x14ac:dyDescent="0.2"/>
    <row r="97" ht="14.1" hidden="1" customHeight="1" x14ac:dyDescent="0.2"/>
    <row r="98" ht="14.1" hidden="1" customHeight="1" x14ac:dyDescent="0.2"/>
  </sheetData>
  <mergeCells count="1">
    <mergeCell ref="A64:B64"/>
  </mergeCells>
  <phoneticPr fontId="0" type="noConversion"/>
  <pageMargins left="0.7" right="0.7" top="0.75" bottom="0.75" header="0.3" footer="0.3"/>
  <pageSetup fitToWidth="0" orientation="portrait" r:id="rId1"/>
  <headerFooter alignWithMargins="0">
    <oddHeader>&amp;C&amp;"Arial,Regular"&amp;12Morton Village ADOPTED Operating Budget
&amp;10January 1, 2026 to December 31, 2026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7"/>
  <sheetViews>
    <sheetView workbookViewId="0">
      <selection activeCell="G11" sqref="G11"/>
    </sheetView>
  </sheetViews>
  <sheetFormatPr defaultRowHeight="12" x14ac:dyDescent="0.15"/>
  <cols>
    <col min="1" max="1" width="18.5" customWidth="1"/>
    <col min="3" max="3" width="14.125" bestFit="1" customWidth="1"/>
    <col min="4" max="4" width="19.25" bestFit="1" customWidth="1"/>
    <col min="5" max="5" width="26.125" customWidth="1"/>
    <col min="6" max="6" width="23.625" customWidth="1"/>
    <col min="7" max="7" width="17.25" bestFit="1" customWidth="1"/>
    <col min="9" max="9" width="12" bestFit="1" customWidth="1"/>
  </cols>
  <sheetData>
    <row r="1" spans="1:18" x14ac:dyDescent="0.15">
      <c r="A1" s="12"/>
      <c r="B1" s="13" t="s">
        <v>73</v>
      </c>
      <c r="C1" s="13" t="s">
        <v>74</v>
      </c>
      <c r="D1" s="13" t="s">
        <v>75</v>
      </c>
      <c r="E1" s="13" t="s">
        <v>76</v>
      </c>
      <c r="F1" s="13" t="s">
        <v>108</v>
      </c>
      <c r="G1" s="21" t="s">
        <v>109</v>
      </c>
      <c r="H1" s="14"/>
    </row>
    <row r="2" spans="1:18" x14ac:dyDescent="0.15">
      <c r="A2" s="15"/>
      <c r="B2" s="11" t="s">
        <v>77</v>
      </c>
      <c r="C2" s="11" t="s">
        <v>78</v>
      </c>
      <c r="D2" s="11" t="s">
        <v>79</v>
      </c>
      <c r="E2" s="11" t="s">
        <v>80</v>
      </c>
      <c r="F2" s="11"/>
      <c r="G2" s="11" t="s">
        <v>81</v>
      </c>
      <c r="H2" s="16"/>
    </row>
    <row r="3" spans="1:18" x14ac:dyDescent="0.15">
      <c r="A3" s="15" t="s">
        <v>82</v>
      </c>
      <c r="B3" s="11">
        <v>25</v>
      </c>
      <c r="C3" s="33">
        <v>7</v>
      </c>
      <c r="D3" s="11">
        <v>600000</v>
      </c>
      <c r="E3" s="11">
        <f t="shared" ref="E3:E8" si="0">(D3-F3)</f>
        <v>371949</v>
      </c>
      <c r="F3" s="36">
        <v>228051</v>
      </c>
      <c r="G3" s="11">
        <v>49000</v>
      </c>
      <c r="H3" s="16"/>
    </row>
    <row r="4" spans="1:18" x14ac:dyDescent="0.15">
      <c r="A4" s="15" t="s">
        <v>83</v>
      </c>
      <c r="B4" s="11">
        <v>10</v>
      </c>
      <c r="C4" s="11">
        <v>2</v>
      </c>
      <c r="D4" s="11">
        <v>177500</v>
      </c>
      <c r="E4" s="11">
        <f t="shared" si="0"/>
        <v>16466</v>
      </c>
      <c r="F4" s="11">
        <v>161034</v>
      </c>
      <c r="G4" s="11">
        <v>3000</v>
      </c>
      <c r="H4" s="16"/>
    </row>
    <row r="5" spans="1:18" x14ac:dyDescent="0.15">
      <c r="A5" s="15" t="s">
        <v>84</v>
      </c>
      <c r="B5" s="11">
        <v>10</v>
      </c>
      <c r="C5" s="11">
        <v>1</v>
      </c>
      <c r="D5" s="33">
        <v>92000</v>
      </c>
      <c r="E5" s="11">
        <f t="shared" si="0"/>
        <v>62000</v>
      </c>
      <c r="F5" s="37">
        <v>30000</v>
      </c>
      <c r="G5" s="11">
        <v>130740</v>
      </c>
      <c r="H5" s="16"/>
      <c r="I5" s="22" t="s">
        <v>121</v>
      </c>
      <c r="J5" s="22"/>
      <c r="K5" s="22"/>
      <c r="L5" s="22"/>
      <c r="M5" s="22"/>
      <c r="N5" s="22"/>
      <c r="O5" s="22"/>
      <c r="P5" s="22"/>
      <c r="Q5" s="22"/>
      <c r="R5" s="22"/>
    </row>
    <row r="6" spans="1:18" x14ac:dyDescent="0.15">
      <c r="A6" s="15" t="s">
        <v>85</v>
      </c>
      <c r="B6" s="11">
        <v>18</v>
      </c>
      <c r="C6" s="36">
        <v>14</v>
      </c>
      <c r="D6" s="36">
        <v>145000</v>
      </c>
      <c r="E6" s="36">
        <f t="shared" si="0"/>
        <v>70000</v>
      </c>
      <c r="F6" s="36">
        <v>75000</v>
      </c>
      <c r="G6" s="11">
        <v>35000</v>
      </c>
      <c r="H6" s="16"/>
      <c r="I6" s="22" t="s">
        <v>119</v>
      </c>
      <c r="J6" s="22"/>
      <c r="K6" s="22"/>
      <c r="L6" s="22"/>
      <c r="M6" s="22"/>
      <c r="N6" s="22"/>
      <c r="O6" s="22"/>
      <c r="P6" s="22"/>
      <c r="Q6" s="22"/>
      <c r="R6" s="22"/>
    </row>
    <row r="7" spans="1:18" x14ac:dyDescent="0.15">
      <c r="A7" s="15" t="s">
        <v>86</v>
      </c>
      <c r="B7" s="11">
        <v>15</v>
      </c>
      <c r="C7" s="11">
        <v>1</v>
      </c>
      <c r="D7" s="33">
        <v>90000</v>
      </c>
      <c r="E7" s="11">
        <f t="shared" si="0"/>
        <v>2828</v>
      </c>
      <c r="F7" s="11">
        <v>87172</v>
      </c>
      <c r="G7" s="11">
        <v>4000</v>
      </c>
      <c r="H7" s="16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 x14ac:dyDescent="0.15">
      <c r="A8" s="15" t="s">
        <v>87</v>
      </c>
      <c r="B8" s="11">
        <v>45</v>
      </c>
      <c r="C8" s="11">
        <v>6</v>
      </c>
      <c r="D8" s="11">
        <v>11600</v>
      </c>
      <c r="E8" s="11">
        <f t="shared" si="0"/>
        <v>2110</v>
      </c>
      <c r="F8" s="11">
        <v>9490</v>
      </c>
      <c r="G8" s="11">
        <v>100</v>
      </c>
      <c r="H8" s="16"/>
    </row>
    <row r="9" spans="1:18" x14ac:dyDescent="0.15">
      <c r="A9" s="15" t="s">
        <v>88</v>
      </c>
      <c r="B9" s="11">
        <v>17</v>
      </c>
      <c r="C9" s="11">
        <v>1</v>
      </c>
      <c r="D9" s="11">
        <v>3467</v>
      </c>
      <c r="E9" s="11">
        <v>0</v>
      </c>
      <c r="F9" s="11">
        <v>2420</v>
      </c>
      <c r="G9" s="11">
        <v>400</v>
      </c>
      <c r="H9" s="16"/>
    </row>
    <row r="10" spans="1:18" x14ac:dyDescent="0.15">
      <c r="A10" s="15" t="s">
        <v>100</v>
      </c>
      <c r="B10" s="11">
        <v>20</v>
      </c>
      <c r="C10" s="11">
        <v>4</v>
      </c>
      <c r="D10" s="11">
        <v>10000</v>
      </c>
      <c r="E10" s="11">
        <v>10000</v>
      </c>
      <c r="F10" s="11">
        <v>2091</v>
      </c>
      <c r="G10" s="11" t="s">
        <v>123</v>
      </c>
      <c r="H10" s="16"/>
    </row>
    <row r="11" spans="1:18" x14ac:dyDescent="0.15">
      <c r="A11" s="15"/>
      <c r="B11" s="11"/>
      <c r="C11" s="11"/>
      <c r="D11" s="11"/>
      <c r="E11" s="11"/>
      <c r="F11" s="11"/>
      <c r="G11" s="11"/>
      <c r="H11" s="16"/>
    </row>
    <row r="12" spans="1:18" x14ac:dyDescent="0.15">
      <c r="A12" s="15" t="s">
        <v>89</v>
      </c>
      <c r="B12" s="11"/>
      <c r="C12" s="11"/>
      <c r="D12" s="11">
        <f>SUM(D3:D10)</f>
        <v>1129567</v>
      </c>
      <c r="E12" s="11">
        <f>SUM(E3:E9)</f>
        <v>525353</v>
      </c>
      <c r="F12" s="11"/>
      <c r="G12" s="11">
        <f>SUM(G3:G10)</f>
        <v>222240</v>
      </c>
      <c r="H12" s="16"/>
    </row>
    <row r="13" spans="1:18" x14ac:dyDescent="0.15">
      <c r="A13" s="15"/>
      <c r="B13" s="11"/>
      <c r="C13" s="11"/>
      <c r="D13" s="11"/>
      <c r="E13" s="11"/>
      <c r="F13" s="11"/>
      <c r="G13" s="11"/>
      <c r="H13" s="16"/>
    </row>
    <row r="14" spans="1:18" x14ac:dyDescent="0.15">
      <c r="A14" s="15"/>
      <c r="B14" s="11"/>
      <c r="C14" s="11"/>
      <c r="D14" s="11"/>
      <c r="E14" s="11"/>
      <c r="F14" s="11"/>
      <c r="G14" s="11"/>
      <c r="H14" s="16"/>
    </row>
    <row r="15" spans="1:18" x14ac:dyDescent="0.15">
      <c r="A15" s="17"/>
      <c r="B15" s="11"/>
      <c r="C15" s="11"/>
      <c r="D15" s="11"/>
      <c r="E15" s="11"/>
      <c r="F15" s="11"/>
      <c r="G15" s="11"/>
      <c r="H15" s="16"/>
    </row>
    <row r="16" spans="1:18" x14ac:dyDescent="0.15">
      <c r="A16" s="17"/>
      <c r="B16" s="11"/>
      <c r="C16" s="11"/>
      <c r="D16" s="11"/>
      <c r="E16" s="11"/>
      <c r="F16" s="11"/>
      <c r="G16" s="11"/>
      <c r="H16" s="16"/>
    </row>
    <row r="17" spans="1:11" x14ac:dyDescent="0.15">
      <c r="A17" s="17"/>
      <c r="B17" s="11" t="s">
        <v>90</v>
      </c>
      <c r="C17" s="11"/>
      <c r="D17" s="11"/>
      <c r="E17" s="11"/>
      <c r="F17" s="11"/>
      <c r="G17" s="11"/>
      <c r="H17" s="16"/>
    </row>
    <row r="18" spans="1:11" x14ac:dyDescent="0.15">
      <c r="A18" s="17"/>
      <c r="B18" s="11"/>
      <c r="C18" s="11"/>
      <c r="D18" s="11"/>
      <c r="E18" s="11"/>
      <c r="F18" s="11"/>
      <c r="G18" s="11"/>
      <c r="H18" s="16"/>
    </row>
    <row r="19" spans="1:11" x14ac:dyDescent="0.15">
      <c r="A19" s="17"/>
      <c r="B19" s="11" t="s">
        <v>91</v>
      </c>
      <c r="C19" s="11"/>
      <c r="D19" s="11"/>
      <c r="E19" s="11"/>
      <c r="F19" s="11"/>
      <c r="G19" s="11"/>
      <c r="H19" s="16"/>
    </row>
    <row r="20" spans="1:11" x14ac:dyDescent="0.15">
      <c r="A20" s="17"/>
      <c r="B20" s="11" t="s">
        <v>92</v>
      </c>
      <c r="C20" s="11"/>
      <c r="D20" s="11"/>
      <c r="E20" s="11"/>
      <c r="F20" s="11"/>
      <c r="G20" s="11"/>
      <c r="H20" s="16"/>
    </row>
    <row r="21" spans="1:11" x14ac:dyDescent="0.15">
      <c r="A21" s="17"/>
      <c r="B21" s="11" t="s">
        <v>93</v>
      </c>
      <c r="C21" s="11"/>
      <c r="D21" s="11"/>
      <c r="E21" s="11"/>
      <c r="F21" s="11"/>
      <c r="G21" s="11"/>
      <c r="H21" s="16"/>
    </row>
    <row r="22" spans="1:11" x14ac:dyDescent="0.15">
      <c r="A22" s="17"/>
      <c r="B22" s="11"/>
      <c r="C22" s="11"/>
      <c r="D22" s="11"/>
      <c r="E22" s="11"/>
      <c r="F22" s="11"/>
      <c r="G22" s="11"/>
      <c r="H22" s="16"/>
    </row>
    <row r="23" spans="1:11" x14ac:dyDescent="0.15">
      <c r="A23" s="17"/>
      <c r="B23" s="11" t="s">
        <v>94</v>
      </c>
      <c r="C23" s="11"/>
      <c r="D23" s="11"/>
      <c r="E23" s="11"/>
      <c r="F23" s="11"/>
      <c r="G23" s="11"/>
      <c r="H23" s="16"/>
    </row>
    <row r="24" spans="1:11" x14ac:dyDescent="0.15">
      <c r="A24" s="17"/>
      <c r="B24" s="11" t="s">
        <v>95</v>
      </c>
      <c r="C24" s="11"/>
      <c r="D24" s="11"/>
      <c r="E24" s="11"/>
      <c r="F24" s="11"/>
      <c r="G24" s="11"/>
      <c r="H24" s="16"/>
      <c r="J24" s="25"/>
      <c r="K24" s="25"/>
    </row>
    <row r="25" spans="1:11" x14ac:dyDescent="0.15">
      <c r="A25" s="17"/>
      <c r="B25" s="11" t="s">
        <v>96</v>
      </c>
      <c r="C25" s="11"/>
      <c r="D25" s="11"/>
      <c r="E25" s="11"/>
      <c r="F25" s="11"/>
      <c r="G25" s="11"/>
      <c r="H25" s="16"/>
      <c r="J25" s="25"/>
      <c r="K25" s="25"/>
    </row>
    <row r="26" spans="1:11" x14ac:dyDescent="0.15">
      <c r="A26" s="17"/>
      <c r="B26" s="11"/>
      <c r="C26" s="11"/>
      <c r="D26" s="11"/>
      <c r="E26" s="11"/>
      <c r="F26" s="11"/>
      <c r="G26" s="11"/>
      <c r="H26" s="16"/>
      <c r="J26" s="25"/>
      <c r="K26" s="25"/>
    </row>
    <row r="27" spans="1:11" x14ac:dyDescent="0.15">
      <c r="A27" s="17"/>
      <c r="H27" s="16"/>
      <c r="J27" s="25"/>
      <c r="K27" s="25"/>
    </row>
    <row r="28" spans="1:11" ht="12.75" thickBot="1" x14ac:dyDescent="0.2">
      <c r="A28" s="18"/>
      <c r="B28" s="19"/>
      <c r="C28" s="19"/>
      <c r="D28" s="19"/>
      <c r="E28" s="19"/>
      <c r="F28" s="19"/>
      <c r="G28" s="19"/>
      <c r="H28" s="20"/>
      <c r="J28" s="25"/>
      <c r="K28" s="25"/>
    </row>
    <row r="29" spans="1:11" x14ac:dyDescent="0.15">
      <c r="J29" s="25"/>
      <c r="K29" s="25"/>
    </row>
    <row r="30" spans="1:11" x14ac:dyDescent="0.15">
      <c r="J30" s="25"/>
      <c r="K30" s="25"/>
    </row>
    <row r="31" spans="1:11" x14ac:dyDescent="0.15">
      <c r="J31" s="25"/>
      <c r="K31" s="25"/>
    </row>
    <row r="32" spans="1:11" x14ac:dyDescent="0.15">
      <c r="J32" s="25"/>
      <c r="K32" s="25"/>
    </row>
    <row r="33" spans="8:11" x14ac:dyDescent="0.15">
      <c r="J33" s="25"/>
      <c r="K33" s="25"/>
    </row>
    <row r="34" spans="8:11" x14ac:dyDescent="0.15">
      <c r="J34" s="25"/>
      <c r="K34" s="25"/>
    </row>
    <row r="35" spans="8:11" x14ac:dyDescent="0.15">
      <c r="J35" s="25"/>
      <c r="K35" s="25"/>
    </row>
    <row r="36" spans="8:11" x14ac:dyDescent="0.15">
      <c r="J36" s="25"/>
      <c r="K36" s="25"/>
    </row>
    <row r="37" spans="8:11" x14ac:dyDescent="0.15">
      <c r="J37" s="25"/>
      <c r="K37" s="25"/>
    </row>
    <row r="38" spans="8:11" x14ac:dyDescent="0.15">
      <c r="J38" s="25"/>
      <c r="K38" s="25"/>
    </row>
    <row r="39" spans="8:11" x14ac:dyDescent="0.15">
      <c r="J39" s="25"/>
      <c r="K39" s="25"/>
    </row>
    <row r="40" spans="8:11" x14ac:dyDescent="0.15">
      <c r="J40" s="25"/>
      <c r="K40" s="25"/>
    </row>
    <row r="41" spans="8:11" x14ac:dyDescent="0.15">
      <c r="J41" s="25"/>
      <c r="K41" s="25"/>
    </row>
    <row r="44" spans="8:11" x14ac:dyDescent="0.15">
      <c r="H44">
        <v>5400</v>
      </c>
    </row>
    <row r="45" spans="8:11" x14ac:dyDescent="0.15">
      <c r="H45">
        <v>800</v>
      </c>
    </row>
    <row r="46" spans="8:11" x14ac:dyDescent="0.15">
      <c r="H46" s="22"/>
      <c r="I46" s="22"/>
      <c r="J46" s="22"/>
    </row>
    <row r="47" spans="8:11" x14ac:dyDescent="0.15">
      <c r="H47" s="22"/>
      <c r="I47" s="22"/>
      <c r="J47" s="22"/>
    </row>
  </sheetData>
  <pageMargins left="0.7" right="0.7" top="0.75" bottom="0.75" header="0.3" footer="0.3"/>
  <pageSetup scale="9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78AE4022D1A49B06348F599F52306" ma:contentTypeVersion="3" ma:contentTypeDescription="Create a new document." ma:contentTypeScope="" ma:versionID="8e31a131bc7ca98323fc9e70bd4d52d2">
  <xsd:schema xmlns:xsd="http://www.w3.org/2001/XMLSchema" xmlns:xs="http://www.w3.org/2001/XMLSchema" xmlns:p="http://schemas.microsoft.com/office/2006/metadata/properties" xmlns:ns3="13d7f611-a131-4912-9773-39a4f53159b5" targetNamespace="http://schemas.microsoft.com/office/2006/metadata/properties" ma:root="true" ma:fieldsID="fce07f1dac4af081368e198be45af0c2" ns3:_="">
    <xsd:import namespace="13d7f611-a131-4912-9773-39a4f53159b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7f611-a131-4912-9773-39a4f5315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15AE9E-3B74-4607-8BEB-F2569F9B53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d7f611-a131-4912-9773-39a4f53159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78B387-86A7-42B6-B650-9870C2536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7799A1-A027-472F-8D0E-E2C4B23BCDD8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13d7f611-a131-4912-9773-39a4f53159b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Budget </vt:lpstr>
      <vt:lpstr>Reserves</vt:lpstr>
      <vt:lpstr>'Budget '!Print_Area</vt:lpstr>
      <vt:lpstr>'Budget '!Print_Titles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Stockton</dc:creator>
  <cp:lastModifiedBy>Jessica Christianson</cp:lastModifiedBy>
  <cp:lastPrinted>2025-11-03T23:46:35Z</cp:lastPrinted>
  <dcterms:created xsi:type="dcterms:W3CDTF">2003-08-15T16:08:04Z</dcterms:created>
  <dcterms:modified xsi:type="dcterms:W3CDTF">2026-06-19T17:45:01Z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0x0101009A578AE4022D1A49B06348F599F52306</vt:lpwstr>
  </property>
</Properties>
</file>
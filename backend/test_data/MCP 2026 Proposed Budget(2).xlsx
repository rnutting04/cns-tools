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R:\Excel_Word Files\Judi Morrison\MCP\Budgets\2026\"/>
    </mc:Choice>
  </mc:AlternateContent>
  <xr:revisionPtr revIDLastSave="0" documentId="13_ncr:1_{2A1FBEDA-7AB0-4CAB-9993-102913F39FF9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GRAPH" sheetId="2" r:id="rId1"/>
    <sheet name="Budget" sheetId="1" r:id="rId2"/>
    <sheet name="Graph #s" sheetId="3" r:id="rId3"/>
  </sheets>
  <definedNames>
    <definedName name="_xlnm.Print_Area" localSheetId="1">Budget!$A$1:$E$69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" l="1"/>
  <c r="C56" i="1"/>
  <c r="C62" i="1"/>
  <c r="D62" i="1"/>
  <c r="D4" i="3" s="1"/>
  <c r="D56" i="1"/>
  <c r="D3" i="3" s="1"/>
  <c r="C66" i="1"/>
  <c r="D37" i="1"/>
  <c r="D2" i="3" s="1"/>
  <c r="C37" i="1"/>
  <c r="D26" i="1"/>
  <c r="D1" i="3" s="1"/>
  <c r="C26" i="1"/>
  <c r="C63" i="1" l="1"/>
  <c r="C68" i="1" s="1"/>
  <c r="D63" i="1"/>
  <c r="D66" i="1"/>
  <c r="D68" i="1" l="1"/>
  <c r="D15" i="1"/>
  <c r="D13" i="1" s="1"/>
  <c r="D5" i="3"/>
  <c r="D7" i="3" s="1"/>
  <c r="C1" i="3" s="1"/>
  <c r="D11" i="1"/>
  <c r="D8" i="1" s="1"/>
  <c r="C5" i="1" l="1"/>
  <c r="C8" i="1"/>
  <c r="C11" i="1" s="1"/>
  <c r="C16" i="1" s="1"/>
  <c r="C69" i="1" s="1"/>
  <c r="D5" i="1"/>
  <c r="C4" i="3"/>
  <c r="C2" i="3"/>
  <c r="C3" i="3"/>
  <c r="C5" i="3"/>
  <c r="D16" i="1"/>
  <c r="D69" i="1" s="1"/>
  <c r="C7" i="3" l="1"/>
</calcChain>
</file>

<file path=xl/sharedStrings.xml><?xml version="1.0" encoding="utf-8"?>
<sst xmlns="http://schemas.openxmlformats.org/spreadsheetml/2006/main" count="64" uniqueCount="59">
  <si>
    <t xml:space="preserve">MEMBER ASSESSMENT </t>
  </si>
  <si>
    <t>Member Assessments</t>
  </si>
  <si>
    <t>Interest</t>
  </si>
  <si>
    <t xml:space="preserve">     TOTAL OPERATING</t>
  </si>
  <si>
    <t>RESERVES</t>
  </si>
  <si>
    <t>Assessments</t>
  </si>
  <si>
    <t>CPA Fees</t>
  </si>
  <si>
    <t>Postage &amp; Printing/Office Supplies</t>
  </si>
  <si>
    <t>Bank Charges/Coupons</t>
  </si>
  <si>
    <t>Attorney Fees</t>
  </si>
  <si>
    <t>Management Fees</t>
  </si>
  <si>
    <t>Misc. Administrative Expense</t>
  </si>
  <si>
    <t>Annual Corporate Report</t>
  </si>
  <si>
    <t>Insurance -Bldg/Other</t>
  </si>
  <si>
    <t>Grounds Maintenance Contract</t>
  </si>
  <si>
    <t>UTILITIES</t>
  </si>
  <si>
    <t>Electricity</t>
  </si>
  <si>
    <t>Water/Sewer/Trash</t>
  </si>
  <si>
    <t>Surplus</t>
  </si>
  <si>
    <t>(a+b)/110</t>
  </si>
  <si>
    <t>Mulch</t>
  </si>
  <si>
    <t>Tree Trimming</t>
  </si>
  <si>
    <t>Misc Grds Landsc</t>
  </si>
  <si>
    <t>Irrigation Repairs</t>
  </si>
  <si>
    <t>Telephone Access</t>
  </si>
  <si>
    <t>Pest Control/Cabana</t>
  </si>
  <si>
    <t>Misc Repair</t>
  </si>
  <si>
    <t>Cabana Maint</t>
  </si>
  <si>
    <t>Gate Maint Contract</t>
  </si>
  <si>
    <t>Gate Repairs</t>
  </si>
  <si>
    <t>Pool Maint Contract</t>
  </si>
  <si>
    <t>Pool Repairs</t>
  </si>
  <si>
    <t>Sign/Pool Permit</t>
  </si>
  <si>
    <t>Pressure Clean</t>
  </si>
  <si>
    <t>Janitorial Maintenance</t>
  </si>
  <si>
    <t>Pooled Reserves</t>
  </si>
  <si>
    <t xml:space="preserve">Grounds /Plantings </t>
  </si>
  <si>
    <t>Pump Maintenance</t>
  </si>
  <si>
    <t>Lake Maintenance</t>
  </si>
  <si>
    <t>Fence/Wall Maintenance</t>
  </si>
  <si>
    <t>Per Quarter Per Lots - 110 Lots</t>
  </si>
  <si>
    <t>Special Assessment</t>
  </si>
  <si>
    <t>ADMIN</t>
  </si>
  <si>
    <t>BLDG &amp; GROUNDS</t>
  </si>
  <si>
    <t>MAINTENANCE</t>
  </si>
  <si>
    <t>ADMINISTRATION</t>
  </si>
  <si>
    <t>BUILDING AND GROUNDS</t>
  </si>
  <si>
    <t xml:space="preserve">     TOTAL RESERVES</t>
  </si>
  <si>
    <t xml:space="preserve">   TOTAL ADMINISTRATION</t>
  </si>
  <si>
    <t xml:space="preserve">  TOTAL BLDG &amp; GROUNDS</t>
  </si>
  <si>
    <t xml:space="preserve">   TOTAL MAINTENANCE</t>
  </si>
  <si>
    <t xml:space="preserve">    TOTAL UTILITES</t>
  </si>
  <si>
    <t>TOTAL OPERATING &amp; RESERVES</t>
  </si>
  <si>
    <t>TOTAL  RESERVES</t>
  </si>
  <si>
    <t>Fire Safety</t>
  </si>
  <si>
    <t>2025 PROJECTED</t>
  </si>
  <si>
    <t>a.</t>
  </si>
  <si>
    <t>2025 ACTUAL</t>
  </si>
  <si>
    <t>2026 ADOPTED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</si>
</sst>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1">
    <font>
      <sz val="11"/>
      <color theme="1"/>
      <name val="Calibri"/>
      <family val="2"/>
      <scheme val="minor"/>
    </font>
    <font>
      <sz val="18"/>
      <name val="P-HLV"/>
    </font>
    <font>
      <b/>
      <sz val="12"/>
      <name val="P-HLV"/>
    </font>
    <font>
      <sz val="12"/>
      <name val="P-HLV"/>
    </font>
    <font>
      <b/>
      <sz val="11"/>
      <name val="Arial"/>
      <family val="2"/>
    </font>
    <font>
      <i/>
      <sz val="11"/>
      <name val="Arial"/>
      <family val="2"/>
    </font>
    <font>
      <sz val="11"/>
      <name val="Arial"/>
      <family val="2"/>
    </font>
    <font>
      <b/>
      <i/>
      <sz val="11"/>
      <name val="Arial"/>
      <family val="2"/>
    </font>
    <font>
      <b/>
      <i/>
      <u/>
      <sz val="11"/>
      <name val="Arial"/>
      <family val="2"/>
    </font>
    <font>
      <sz val="11"/>
      <color theme="1"/>
      <name val="Arial"/>
      <family val="2"/>
    </font>
    <font>
      <b/>
      <sz val="10"/>
      <name val="P-HLV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0" fontId="4" fillId="0" borderId="0" xfId="0" applyFont="1"/>
    <xf numFmtId="0" fontId="5" fillId="0" borderId="0" xfId="0" applyFont="1"/>
    <xf numFmtId="164" fontId="6" fillId="0" borderId="0" xfId="0" applyNumberFormat="1" applyFont="1"/>
    <xf numFmtId="0" fontId="6" fillId="0" borderId="0" xfId="0" applyFont="1"/>
    <xf numFmtId="164" fontId="4" fillId="0" borderId="0" xfId="0" applyNumberFormat="1" applyFont="1"/>
    <xf numFmtId="164" fontId="4" fillId="0" borderId="0" xfId="0" applyNumberFormat="1" applyFont="1" applyAlignment="1">
      <alignment horizontal="center" wrapText="1"/>
    </xf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/>
    <xf numFmtId="164" fontId="4" fillId="0" borderId="0" xfId="0" applyNumberFormat="1" applyFont="1" applyAlignment="1">
      <alignment horizontal="right"/>
    </xf>
    <xf numFmtId="0" fontId="7" fillId="0" borderId="0" xfId="0" applyFont="1" applyAlignment="1">
      <alignment horizontal="center"/>
    </xf>
    <xf numFmtId="164" fontId="6" fillId="0" borderId="0" xfId="0" applyNumberFormat="1" applyFont="1" applyAlignment="1">
      <alignment horizontal="right"/>
    </xf>
    <xf numFmtId="164" fontId="2" fillId="2" borderId="0" xfId="0" applyNumberFormat="1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/>
    </xf>
    <xf numFmtId="164" fontId="2" fillId="2" borderId="0" xfId="0" applyNumberFormat="1" applyFont="1" applyFill="1"/>
    <xf numFmtId="164" fontId="3" fillId="2" borderId="0" xfId="0" applyNumberFormat="1" applyFont="1" applyFill="1"/>
    <xf numFmtId="164" fontId="6" fillId="2" borderId="0" xfId="0" applyNumberFormat="1" applyFont="1" applyFill="1"/>
    <xf numFmtId="164" fontId="4" fillId="2" borderId="0" xfId="0" applyNumberFormat="1" applyFont="1" applyFill="1"/>
    <xf numFmtId="164" fontId="4" fillId="2" borderId="0" xfId="0" applyNumberFormat="1" applyFont="1" applyFill="1" applyAlignment="1">
      <alignment horizontal="right"/>
    </xf>
    <xf numFmtId="0" fontId="0" fillId="2" borderId="0" xfId="0" applyFill="1"/>
    <xf numFmtId="0" fontId="10" fillId="0" borderId="0" xfId="0" applyFont="1"/>
    <xf numFmtId="164" fontId="9" fillId="0" borderId="0" xfId="0" applyNumberFormat="1" applyFont="1"/>
    <xf numFmtId="10" fontId="0" fillId="0" borderId="0" xfId="0" applyNumberFormat="1"/>
    <xf numFmtId="0" fontId="7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  <color rgb="FF6666FF"/>
      <color rgb="FFFFCCFF"/>
      <color rgb="FFCCFFFF"/>
      <color rgb="FF00FFFF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Moss Creek Property Owner'sAssociation, Inc. </a:t>
            </a:r>
          </a:p>
          <a:p>
            <a:pPr>
              <a:defRPr/>
            </a:pPr>
            <a:r>
              <a:rPr lang="en-US"/>
              <a:t>2026 ADOPTED BUDGET </a:t>
            </a:r>
          </a:p>
          <a:p>
            <a:pPr>
              <a:defRPr/>
            </a:pPr>
            <a:r>
              <a:rPr lang="en-US"/>
              <a:t>January 1, 2026 to December 31, 2026</a:t>
            </a:r>
          </a:p>
          <a:p>
            <a:pPr>
              <a:defRPr/>
            </a:pPr>
            <a:r>
              <a:rPr lang="en-US"/>
              <a:t> </a:t>
            </a:r>
          </a:p>
        </c:rich>
      </c:tx>
      <c:layout>
        <c:manualLayout>
          <c:xMode val="edge"/>
          <c:yMode val="edge"/>
          <c:x val="0.13177897186292167"/>
          <c:y val="1.222702315413916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7746311753949207E-2"/>
          <c:y val="9.4985349663344765E-2"/>
          <c:w val="0.75971214507277496"/>
          <c:h val="0.72594760451869966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697D-4373-84C7-E754EBBDB669}"/>
              </c:ext>
            </c:extLst>
          </c:dPt>
          <c:dPt>
            <c:idx val="1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697D-4373-84C7-E754EBBDB669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697D-4373-84C7-E754EBBDB669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4-697D-4373-84C7-E754EBBDB669}"/>
              </c:ext>
            </c:extLst>
          </c:dPt>
          <c:dPt>
            <c:idx val="4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697D-4373-84C7-E754EBBDB669}"/>
              </c:ext>
            </c:extLst>
          </c:dPt>
          <c:dLbls>
            <c:dLbl>
              <c:idx val="0"/>
              <c:layout>
                <c:manualLayout>
                  <c:x val="5.8181818181818182E-2"/>
                  <c:y val="-4.3907793633369925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97D-4373-84C7-E754EBBDB669}"/>
                </c:ext>
              </c:extLst>
            </c:dLbl>
            <c:dLbl>
              <c:idx val="1"/>
              <c:layout>
                <c:manualLayout>
                  <c:x val="-5.0909090909090911E-2"/>
                  <c:y val="4.537138675448225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97D-4373-84C7-E754EBBDB669}"/>
                </c:ext>
              </c:extLst>
            </c:dLbl>
            <c:dLbl>
              <c:idx val="2"/>
              <c:layout>
                <c:manualLayout>
                  <c:x val="5.5757575757575756E-2"/>
                  <c:y val="4.390779363336992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97D-4373-84C7-E754EBBDB669}"/>
                </c:ext>
              </c:extLst>
            </c:dLbl>
            <c:dLbl>
              <c:idx val="3"/>
              <c:layout>
                <c:manualLayout>
                  <c:x val="7.2727272727272727E-3"/>
                  <c:y val="-5.415294548115624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97D-4373-84C7-E754EBBDB669}"/>
                </c:ext>
              </c:extLst>
            </c:dLbl>
            <c:dLbl>
              <c:idx val="4"/>
              <c:layout>
                <c:manualLayout>
                  <c:x val="-8.4848484848484854E-2"/>
                  <c:y val="-1.75631174533479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97D-4373-84C7-E754EBBDB669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'Graph #s'!$A$1:$A$5</c:f>
              <c:strCache>
                <c:ptCount val="5"/>
                <c:pt idx="0">
                  <c:v>ADMIN</c:v>
                </c:pt>
                <c:pt idx="1">
                  <c:v>BLDG &amp; GROUNDS</c:v>
                </c:pt>
                <c:pt idx="2">
                  <c:v>MAINTENANCE</c:v>
                </c:pt>
                <c:pt idx="3">
                  <c:v>UTILITIES</c:v>
                </c:pt>
                <c:pt idx="4">
                  <c:v>RESERVES</c:v>
                </c:pt>
              </c:strCache>
            </c:strRef>
          </c:cat>
          <c:val>
            <c:numRef>
              <c:f>'Graph #s'!$D$1:$D$5</c:f>
              <c:numCache>
                <c:formatCode>General</c:formatCode>
                <c:ptCount val="5"/>
                <c:pt idx="0">
                  <c:v>36536.080000000002</c:v>
                </c:pt>
                <c:pt idx="1">
                  <c:v>78858</c:v>
                </c:pt>
                <c:pt idx="2">
                  <c:v>27985</c:v>
                </c:pt>
                <c:pt idx="3">
                  <c:v>18100</c:v>
                </c:pt>
                <c:pt idx="4">
                  <c:v>39603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7D-4373-84C7-E754EBBDB669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&amp;RPrepared by C and S Community Management Services, Inc.</c:oddFooter>
    </c:headerFooter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123826</xdr:rowOff>
    </xdr:from>
    <xdr:to>
      <xdr:col>8</xdr:col>
      <xdr:colOff>190500</xdr:colOff>
      <xdr:row>36</xdr:row>
      <xdr:rowOff>104776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C2DB9E-988D-4866-8D86-1C39FF0F6E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4FFFB-E9D6-42A6-8FDE-4AE436B8E713}">
  <dimension ref="A1"/>
  <sheetViews>
    <sheetView workbookViewId="0">
      <selection activeCell="O10" sqref="O10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9"/>
  <sheetViews>
    <sheetView showGridLines="0" view="pageLayout" topLeftCell="A51" zoomScaleNormal="100" workbookViewId="0">
      <selection activeCell="E9" sqref="E9"/>
    </sheetView>
  </sheetViews>
  <sheetFormatPr defaultRowHeight="15"/>
  <cols>
    <col min="1" max="1" width="33.7109375" customWidth="1"/>
    <col min="2" max="3" width="16" customWidth="1"/>
    <col min="4" max="4" width="14.85546875" style="24" customWidth="1"/>
    <col min="5" max="5" width="6.5703125" customWidth="1"/>
  </cols>
  <sheetData>
    <row r="1" spans="1:5" ht="23.25">
      <c r="A1" s="31"/>
      <c r="B1" s="31"/>
      <c r="C1" s="31"/>
      <c r="D1" s="31"/>
      <c r="E1" s="30"/>
    </row>
    <row r="2" spans="1:5" ht="23.25">
      <c r="A2" s="29"/>
      <c r="B2" s="29"/>
      <c r="C2" s="29"/>
      <c r="D2" s="29"/>
      <c r="E2" s="29"/>
    </row>
    <row r="3" spans="1:5" ht="28.5" customHeight="1">
      <c r="A3" s="2"/>
      <c r="B3" s="17" t="s">
        <v>57</v>
      </c>
      <c r="C3" s="3" t="s">
        <v>55</v>
      </c>
      <c r="D3" s="17" t="s">
        <v>58</v>
      </c>
      <c r="E3" s="17"/>
    </row>
    <row r="4" spans="1:5" ht="15.75">
      <c r="A4" s="1" t="s">
        <v>0</v>
      </c>
      <c r="B4" s="18"/>
      <c r="C4" s="4"/>
      <c r="D4" s="18"/>
      <c r="E4" s="18"/>
    </row>
    <row r="5" spans="1:5" ht="15.75">
      <c r="A5" s="25" t="s">
        <v>40</v>
      </c>
      <c r="B5" s="19">
        <v>457.00100000000003</v>
      </c>
      <c r="C5" s="4">
        <f>B5</f>
        <v>457.00100000000003</v>
      </c>
      <c r="D5" s="19">
        <f>(D8+D13)/110/4</f>
        <v>457.00472727272734</v>
      </c>
      <c r="E5" s="19"/>
    </row>
    <row r="6" spans="1:5" ht="15.75">
      <c r="A6" s="2" t="s">
        <v>19</v>
      </c>
      <c r="B6" s="20"/>
      <c r="D6" s="20"/>
      <c r="E6" s="20"/>
    </row>
    <row r="7" spans="1:5">
      <c r="A7" s="6"/>
      <c r="B7" s="21"/>
      <c r="C7" s="7"/>
      <c r="D7" s="21"/>
      <c r="E7" s="21"/>
    </row>
    <row r="8" spans="1:5">
      <c r="A8" s="8" t="s">
        <v>1</v>
      </c>
      <c r="B8" s="21">
        <v>161477.44</v>
      </c>
      <c r="C8" s="7">
        <f>B8</f>
        <v>161477.44</v>
      </c>
      <c r="D8" s="21">
        <f>D11-D10-D9</f>
        <v>161479.08000000002</v>
      </c>
      <c r="E8" s="21" t="s">
        <v>56</v>
      </c>
    </row>
    <row r="9" spans="1:5">
      <c r="A9" s="8" t="s">
        <v>41</v>
      </c>
      <c r="B9" s="21">
        <v>0</v>
      </c>
      <c r="C9" s="7">
        <v>0</v>
      </c>
      <c r="D9" s="21">
        <v>0</v>
      </c>
      <c r="E9" s="21"/>
    </row>
    <row r="10" spans="1:5" ht="15.75">
      <c r="A10" s="2" t="s">
        <v>2</v>
      </c>
      <c r="B10" s="20">
        <v>0</v>
      </c>
      <c r="C10" s="4">
        <v>0</v>
      </c>
      <c r="D10" s="20">
        <v>0</v>
      </c>
      <c r="E10" s="20"/>
    </row>
    <row r="11" spans="1:5">
      <c r="A11" s="13" t="s">
        <v>3</v>
      </c>
      <c r="B11" s="22">
        <v>161477.44</v>
      </c>
      <c r="C11" s="9">
        <f>C8</f>
        <v>161477.44</v>
      </c>
      <c r="D11" s="22">
        <f>D63</f>
        <v>161479.08000000002</v>
      </c>
      <c r="E11" s="22"/>
    </row>
    <row r="12" spans="1:5">
      <c r="A12" s="5" t="s">
        <v>4</v>
      </c>
      <c r="B12" s="22"/>
      <c r="C12" s="9"/>
      <c r="D12" s="22"/>
      <c r="E12" s="22"/>
    </row>
    <row r="13" spans="1:5">
      <c r="A13" s="8" t="s">
        <v>5</v>
      </c>
      <c r="B13" s="21">
        <v>39603</v>
      </c>
      <c r="C13" s="7">
        <v>38880</v>
      </c>
      <c r="D13" s="21">
        <f>D15-D14</f>
        <v>39603</v>
      </c>
      <c r="E13" s="21"/>
    </row>
    <row r="14" spans="1:5">
      <c r="A14" s="8" t="s">
        <v>2</v>
      </c>
      <c r="B14" s="21">
        <v>0</v>
      </c>
      <c r="C14" s="7">
        <v>7</v>
      </c>
      <c r="D14" s="21">
        <v>0</v>
      </c>
      <c r="E14" s="21"/>
    </row>
    <row r="15" spans="1:5">
      <c r="A15" s="12" t="s">
        <v>47</v>
      </c>
      <c r="B15" s="22">
        <v>39603</v>
      </c>
      <c r="C15" s="9">
        <f>SUM(C13:C14)</f>
        <v>38887</v>
      </c>
      <c r="D15" s="22">
        <f>D66</f>
        <v>39603</v>
      </c>
      <c r="E15" s="22"/>
    </row>
    <row r="16" spans="1:5">
      <c r="A16" s="28"/>
      <c r="B16" s="22">
        <v>201080.44</v>
      </c>
      <c r="C16" s="9">
        <f>C11+C15</f>
        <v>200364.44</v>
      </c>
      <c r="D16" s="22">
        <f>D11+D15</f>
        <v>201082.08000000002</v>
      </c>
      <c r="E16" s="22"/>
    </row>
    <row r="17" spans="1:5">
      <c r="A17" s="5" t="s">
        <v>45</v>
      </c>
      <c r="B17" s="21"/>
      <c r="C17" s="10"/>
      <c r="D17" s="21"/>
      <c r="E17" s="21"/>
    </row>
    <row r="18" spans="1:5">
      <c r="A18" s="11" t="s">
        <v>6</v>
      </c>
      <c r="B18" s="7">
        <v>1000</v>
      </c>
      <c r="C18" s="7">
        <v>215</v>
      </c>
      <c r="D18" s="7">
        <v>1000</v>
      </c>
      <c r="E18" s="7"/>
    </row>
    <row r="19" spans="1:5">
      <c r="A19" s="8" t="s">
        <v>7</v>
      </c>
      <c r="B19" s="7">
        <v>1450</v>
      </c>
      <c r="C19" s="7">
        <v>922.53</v>
      </c>
      <c r="D19" s="7">
        <v>1250</v>
      </c>
      <c r="E19" s="7"/>
    </row>
    <row r="20" spans="1:5">
      <c r="A20" s="8" t="s">
        <v>8</v>
      </c>
      <c r="B20" s="7">
        <v>707</v>
      </c>
      <c r="C20" s="7">
        <v>325</v>
      </c>
      <c r="D20" s="7">
        <v>400</v>
      </c>
      <c r="E20" s="7"/>
    </row>
    <row r="21" spans="1:5">
      <c r="A21" s="8" t="s">
        <v>9</v>
      </c>
      <c r="B21" s="7">
        <v>6500</v>
      </c>
      <c r="C21" s="7">
        <v>4050</v>
      </c>
      <c r="D21" s="7">
        <v>5000</v>
      </c>
      <c r="E21" s="7"/>
    </row>
    <row r="22" spans="1:5">
      <c r="A22" s="8" t="s">
        <v>10</v>
      </c>
      <c r="B22" s="7">
        <v>12940</v>
      </c>
      <c r="C22" s="7">
        <v>12940</v>
      </c>
      <c r="D22" s="7">
        <v>13324.08</v>
      </c>
      <c r="E22" s="7"/>
    </row>
    <row r="23" spans="1:5">
      <c r="A23" s="11" t="s">
        <v>11</v>
      </c>
      <c r="B23" s="7">
        <v>1300</v>
      </c>
      <c r="C23" s="7">
        <v>162</v>
      </c>
      <c r="D23" s="7">
        <v>500</v>
      </c>
      <c r="E23" s="7"/>
    </row>
    <row r="24" spans="1:5">
      <c r="A24" s="8" t="s">
        <v>12</v>
      </c>
      <c r="B24" s="7">
        <v>62</v>
      </c>
      <c r="C24" s="7">
        <v>62</v>
      </c>
      <c r="D24" s="7">
        <v>62</v>
      </c>
      <c r="E24" s="7"/>
    </row>
    <row r="25" spans="1:5">
      <c r="A25" s="8" t="s">
        <v>13</v>
      </c>
      <c r="B25" s="7">
        <v>17210.439999999999</v>
      </c>
      <c r="C25" s="7">
        <v>13076.19</v>
      </c>
      <c r="D25" s="7">
        <v>15000</v>
      </c>
      <c r="E25" s="7"/>
    </row>
    <row r="26" spans="1:5">
      <c r="A26" s="13" t="s">
        <v>48</v>
      </c>
      <c r="B26" s="22">
        <v>41169.440000000002</v>
      </c>
      <c r="C26" s="9">
        <f>SUM(C18:C25)</f>
        <v>31752.720000000001</v>
      </c>
      <c r="D26" s="22">
        <f>SUM(D18:D25)</f>
        <v>36536.080000000002</v>
      </c>
      <c r="E26" s="22"/>
    </row>
    <row r="27" spans="1:5">
      <c r="A27" s="13"/>
      <c r="B27" s="22"/>
      <c r="C27" s="9"/>
      <c r="D27" s="22"/>
      <c r="E27" s="22"/>
    </row>
    <row r="28" spans="1:5">
      <c r="A28" s="5" t="s">
        <v>46</v>
      </c>
      <c r="B28" s="21"/>
      <c r="C28" s="7"/>
      <c r="D28" s="21"/>
      <c r="E28" s="21"/>
    </row>
    <row r="29" spans="1:5">
      <c r="A29" s="8" t="s">
        <v>14</v>
      </c>
      <c r="B29" s="26">
        <v>51500</v>
      </c>
      <c r="C29" s="7">
        <v>57144</v>
      </c>
      <c r="D29" s="26">
        <v>58858</v>
      </c>
      <c r="E29" s="26"/>
    </row>
    <row r="30" spans="1:5">
      <c r="A30" s="8" t="s">
        <v>22</v>
      </c>
      <c r="B30" s="7">
        <v>5000</v>
      </c>
      <c r="C30" s="7">
        <v>4885.71</v>
      </c>
      <c r="D30" s="7">
        <v>6000</v>
      </c>
      <c r="E30" s="7"/>
    </row>
    <row r="31" spans="1:5">
      <c r="A31" s="8" t="s">
        <v>21</v>
      </c>
      <c r="B31" s="7">
        <v>1000</v>
      </c>
      <c r="C31" s="7">
        <v>1000</v>
      </c>
      <c r="D31" s="7">
        <v>1000</v>
      </c>
      <c r="E31" s="7"/>
    </row>
    <row r="32" spans="1:5">
      <c r="A32" s="8" t="s">
        <v>36</v>
      </c>
      <c r="B32" s="7">
        <v>2500</v>
      </c>
      <c r="C32" s="7">
        <v>0</v>
      </c>
      <c r="D32" s="7">
        <v>1500</v>
      </c>
      <c r="E32" s="7"/>
    </row>
    <row r="33" spans="1:5">
      <c r="A33" s="8" t="s">
        <v>20</v>
      </c>
      <c r="B33" s="7">
        <v>3000</v>
      </c>
      <c r="C33" s="7">
        <v>4990</v>
      </c>
      <c r="D33" s="7">
        <v>5000</v>
      </c>
      <c r="E33" s="7"/>
    </row>
    <row r="34" spans="1:5">
      <c r="A34" s="8" t="s">
        <v>23</v>
      </c>
      <c r="B34" s="7">
        <v>2500</v>
      </c>
      <c r="C34" s="7">
        <v>5006.88</v>
      </c>
      <c r="D34" s="7">
        <v>2500</v>
      </c>
      <c r="E34" s="7"/>
    </row>
    <row r="35" spans="1:5">
      <c r="A35" s="8" t="s">
        <v>38</v>
      </c>
      <c r="B35" s="7">
        <v>5000</v>
      </c>
      <c r="C35" s="7">
        <v>2520</v>
      </c>
      <c r="D35" s="7">
        <v>3500</v>
      </c>
      <c r="E35" s="7"/>
    </row>
    <row r="36" spans="1:5">
      <c r="A36" s="8" t="s">
        <v>37</v>
      </c>
      <c r="B36" s="7">
        <v>2000</v>
      </c>
      <c r="C36" s="7">
        <v>115</v>
      </c>
      <c r="D36" s="7">
        <v>500</v>
      </c>
      <c r="E36" s="7"/>
    </row>
    <row r="37" spans="1:5">
      <c r="A37" s="13" t="s">
        <v>49</v>
      </c>
      <c r="B37" s="22">
        <v>72500</v>
      </c>
      <c r="C37" s="9">
        <f>SUM(C29:C36)</f>
        <v>75661.59</v>
      </c>
      <c r="D37" s="22">
        <f>SUM(D29:D36)</f>
        <v>78858</v>
      </c>
      <c r="E37" s="22"/>
    </row>
    <row r="38" spans="1:5">
      <c r="A38" s="13"/>
      <c r="B38" s="22"/>
      <c r="C38" s="9"/>
      <c r="D38" s="22"/>
      <c r="E38" s="22"/>
    </row>
    <row r="39" spans="1:5">
      <c r="A39" s="5" t="s">
        <v>44</v>
      </c>
      <c r="B39" s="22"/>
      <c r="C39" s="9"/>
      <c r="D39" s="22"/>
      <c r="E39" s="22"/>
    </row>
    <row r="40" spans="1:5">
      <c r="A40" s="11" t="s">
        <v>26</v>
      </c>
      <c r="B40" s="16">
        <v>1000</v>
      </c>
      <c r="C40" s="16">
        <v>2015</v>
      </c>
      <c r="D40" s="16">
        <v>1500</v>
      </c>
      <c r="E40" s="16"/>
    </row>
    <row r="41" spans="1:5">
      <c r="A41" s="11" t="s">
        <v>54</v>
      </c>
      <c r="B41" s="16">
        <v>350</v>
      </c>
      <c r="C41" s="16">
        <v>0</v>
      </c>
      <c r="D41" s="16">
        <v>265</v>
      </c>
      <c r="E41" s="16"/>
    </row>
    <row r="42" spans="1:5">
      <c r="A42" s="8" t="s">
        <v>25</v>
      </c>
      <c r="B42" s="7">
        <v>500</v>
      </c>
      <c r="C42" s="7">
        <v>0</v>
      </c>
      <c r="D42" s="7">
        <v>400</v>
      </c>
      <c r="E42" s="7"/>
    </row>
    <row r="43" spans="1:5">
      <c r="A43" s="8"/>
      <c r="B43" s="7"/>
      <c r="C43" s="7"/>
      <c r="D43" s="7"/>
      <c r="E43" s="7"/>
    </row>
    <row r="44" spans="1:5">
      <c r="A44" s="8"/>
      <c r="B44" s="7"/>
      <c r="C44" s="7"/>
      <c r="D44" s="7"/>
      <c r="E44" s="7"/>
    </row>
    <row r="45" spans="1:5">
      <c r="A45" s="8"/>
      <c r="B45" s="7"/>
      <c r="C45" s="7"/>
      <c r="D45" s="7"/>
      <c r="E45" s="7"/>
    </row>
    <row r="46" spans="1:5" ht="41.25" customHeight="1">
      <c r="A46" s="8"/>
      <c r="B46" s="7"/>
      <c r="C46" s="7"/>
      <c r="D46" s="7"/>
      <c r="E46" s="7"/>
    </row>
    <row r="47" spans="1:5">
      <c r="A47" s="11" t="s">
        <v>27</v>
      </c>
      <c r="B47" s="16">
        <v>775</v>
      </c>
      <c r="C47" s="16">
        <v>0</v>
      </c>
      <c r="D47" s="16">
        <v>400</v>
      </c>
      <c r="E47" s="16"/>
    </row>
    <row r="48" spans="1:5">
      <c r="A48" s="11" t="s">
        <v>39</v>
      </c>
      <c r="B48" s="16">
        <v>600</v>
      </c>
      <c r="C48" s="16">
        <v>0</v>
      </c>
      <c r="D48" s="16">
        <v>400</v>
      </c>
      <c r="E48" s="16"/>
    </row>
    <row r="49" spans="1:5">
      <c r="A49" s="11" t="s">
        <v>28</v>
      </c>
      <c r="B49" s="16">
        <v>7500</v>
      </c>
      <c r="C49" s="16">
        <v>8171</v>
      </c>
      <c r="D49" s="16">
        <v>8000</v>
      </c>
      <c r="E49" s="16"/>
    </row>
    <row r="50" spans="1:5">
      <c r="A50" s="11" t="s">
        <v>29</v>
      </c>
      <c r="B50" s="16">
        <v>3000</v>
      </c>
      <c r="C50" s="16">
        <v>1929</v>
      </c>
      <c r="D50" s="16">
        <v>3000</v>
      </c>
      <c r="E50" s="16"/>
    </row>
    <row r="51" spans="1:5">
      <c r="A51" s="11" t="s">
        <v>32</v>
      </c>
      <c r="B51" s="16">
        <v>300</v>
      </c>
      <c r="C51" s="16">
        <v>250</v>
      </c>
      <c r="D51" s="16">
        <v>300</v>
      </c>
      <c r="E51" s="16"/>
    </row>
    <row r="52" spans="1:5">
      <c r="A52" s="11" t="s">
        <v>30</v>
      </c>
      <c r="B52" s="16">
        <v>6960</v>
      </c>
      <c r="C52" s="16">
        <v>6600</v>
      </c>
      <c r="D52" s="16">
        <v>7320</v>
      </c>
      <c r="E52" s="16"/>
    </row>
    <row r="53" spans="1:5">
      <c r="A53" s="11" t="s">
        <v>31</v>
      </c>
      <c r="B53" s="16">
        <v>2000</v>
      </c>
      <c r="C53" s="16">
        <v>810</v>
      </c>
      <c r="D53" s="16">
        <v>1500</v>
      </c>
      <c r="E53" s="16"/>
    </row>
    <row r="54" spans="1:5">
      <c r="A54" s="11" t="s">
        <v>33</v>
      </c>
      <c r="B54" s="16">
        <v>2000</v>
      </c>
      <c r="C54" s="16">
        <v>0</v>
      </c>
      <c r="D54" s="16">
        <v>1400</v>
      </c>
      <c r="E54" s="16"/>
    </row>
    <row r="55" spans="1:5">
      <c r="A55" s="11" t="s">
        <v>34</v>
      </c>
      <c r="B55" s="16">
        <v>5000</v>
      </c>
      <c r="C55" s="16">
        <v>3664</v>
      </c>
      <c r="D55" s="16">
        <v>3500</v>
      </c>
      <c r="E55" s="16"/>
    </row>
    <row r="56" spans="1:5">
      <c r="A56" s="12" t="s">
        <v>50</v>
      </c>
      <c r="B56" s="23">
        <v>29985</v>
      </c>
      <c r="C56" s="14">
        <f>SUM(C40:C55)</f>
        <v>23439</v>
      </c>
      <c r="D56" s="23">
        <f>SUM(D40:D55)</f>
        <v>27985</v>
      </c>
      <c r="E56" s="23"/>
    </row>
    <row r="57" spans="1:5">
      <c r="A57" s="11"/>
      <c r="B57" s="23"/>
      <c r="C57" s="14"/>
      <c r="D57" s="23"/>
      <c r="E57" s="23"/>
    </row>
    <row r="58" spans="1:5">
      <c r="A58" s="5" t="s">
        <v>15</v>
      </c>
      <c r="B58" s="22"/>
      <c r="C58" s="9"/>
      <c r="D58" s="22"/>
      <c r="E58" s="22"/>
    </row>
    <row r="59" spans="1:5">
      <c r="A59" s="8" t="s">
        <v>16</v>
      </c>
      <c r="B59" s="21">
        <v>15000</v>
      </c>
      <c r="C59" s="7">
        <v>14005</v>
      </c>
      <c r="D59" s="21">
        <v>15000</v>
      </c>
      <c r="E59" s="21"/>
    </row>
    <row r="60" spans="1:5">
      <c r="A60" s="8" t="s">
        <v>17</v>
      </c>
      <c r="B60" s="21">
        <v>1523</v>
      </c>
      <c r="C60" s="7">
        <v>1620</v>
      </c>
      <c r="D60" s="21">
        <v>1700</v>
      </c>
      <c r="E60" s="21"/>
    </row>
    <row r="61" spans="1:5">
      <c r="A61" s="8" t="s">
        <v>24</v>
      </c>
      <c r="B61" s="21">
        <v>1300</v>
      </c>
      <c r="C61" s="7">
        <v>1193</v>
      </c>
      <c r="D61" s="21">
        <v>1400</v>
      </c>
      <c r="E61" s="21"/>
    </row>
    <row r="62" spans="1:5">
      <c r="A62" s="13" t="s">
        <v>51</v>
      </c>
      <c r="B62" s="22">
        <v>17823</v>
      </c>
      <c r="C62" s="9">
        <f>SUM(C59:C61)</f>
        <v>16818</v>
      </c>
      <c r="D62" s="22">
        <f>SUM(D59:D61)</f>
        <v>18100</v>
      </c>
      <c r="E62" s="22"/>
    </row>
    <row r="63" spans="1:5">
      <c r="A63" s="5"/>
      <c r="B63" s="22">
        <v>161477.44</v>
      </c>
      <c r="C63" s="9">
        <f>C26+C37+C56+C62</f>
        <v>147671.31</v>
      </c>
      <c r="D63" s="22">
        <f>D26+D37+D56+D62</f>
        <v>161479.08000000002</v>
      </c>
      <c r="E63" s="22"/>
    </row>
    <row r="64" spans="1:5" ht="15.75">
      <c r="A64" s="5" t="s">
        <v>4</v>
      </c>
      <c r="B64" s="20"/>
      <c r="C64" s="7"/>
      <c r="D64" s="20"/>
      <c r="E64" s="20"/>
    </row>
    <row r="65" spans="1:5">
      <c r="A65" s="8" t="s">
        <v>35</v>
      </c>
      <c r="B65" s="7">
        <v>39603</v>
      </c>
      <c r="C65" s="7">
        <v>38880</v>
      </c>
      <c r="D65" s="7">
        <v>39603</v>
      </c>
      <c r="E65" s="7"/>
    </row>
    <row r="66" spans="1:5">
      <c r="A66" s="13" t="s">
        <v>53</v>
      </c>
      <c r="B66" s="22">
        <v>39603</v>
      </c>
      <c r="C66" s="9">
        <f>SUM(C65:C65)</f>
        <v>38880</v>
      </c>
      <c r="D66" s="22">
        <f>SUM(D65:D65)</f>
        <v>39603</v>
      </c>
      <c r="E66" s="22"/>
    </row>
    <row r="67" spans="1:5" ht="15.75">
      <c r="A67" s="8"/>
      <c r="B67" s="20"/>
      <c r="C67" s="7"/>
      <c r="D67" s="20"/>
      <c r="E67" s="20"/>
    </row>
    <row r="68" spans="1:5">
      <c r="A68" s="12" t="s">
        <v>52</v>
      </c>
      <c r="B68" s="22">
        <v>201080.44</v>
      </c>
      <c r="C68" s="14">
        <f>C63+C66</f>
        <v>186551.31</v>
      </c>
      <c r="D68" s="22">
        <f>D63+D66</f>
        <v>201082.08000000002</v>
      </c>
      <c r="E68" s="22"/>
    </row>
    <row r="69" spans="1:5" ht="15.75">
      <c r="A69" s="15" t="s">
        <v>18</v>
      </c>
      <c r="B69" s="20">
        <v>0</v>
      </c>
      <c r="C69" s="9">
        <f>C16-C68</f>
        <v>13813.130000000005</v>
      </c>
      <c r="D69" s="20">
        <f>D16-D68</f>
        <v>0</v>
      </c>
      <c r="E69" s="20"/>
    </row>
  </sheetData>
  <mergeCells count="1">
    <mergeCell ref="A1:D1"/>
  </mergeCells>
  <pageMargins left="0.23958333333333334" right="0.7" top="0.80208333333333337" bottom="0.75" header="0.3" footer="0.3"/>
  <pageSetup orientation="portrait" r:id="rId1"/>
  <headerFooter>
    <oddHeader>&amp;C&amp;"-,Bold"&amp;14MOSS CREEK PROPERTY OWNERS ASSOCIATION, INC
 2026 ADOPTED BUDGET 
JANUARY 1, 2026 - DECEMBER 31, 2026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ECF39-5CED-47D5-91A2-5D82979E9529}">
  <dimension ref="A1:D7"/>
  <sheetViews>
    <sheetView tabSelected="1" workbookViewId="0">
      <selection activeCell="N8" sqref="N8"/>
    </sheetView>
  </sheetViews>
  <sheetFormatPr defaultRowHeight="15"/>
  <cols>
    <col min="1" max="1" width="14.140625" customWidth="1"/>
    <col min="3" max="3" width="9.140625" style="27"/>
  </cols>
  <sheetData>
    <row r="1" spans="1:4">
      <c r="A1" t="s">
        <v>42</v>
      </c>
      <c r="C1" s="27">
        <f>(D1/D7)</f>
        <v>0.18169734468630919</v>
      </c>
      <c r="D1">
        <f>Budget!D26</f>
        <v>36536.080000000002</v>
      </c>
    </row>
    <row r="2" spans="1:4">
      <c r="A2" t="s">
        <v>43</v>
      </c>
      <c r="C2" s="27">
        <f>(D2/D7)</f>
        <v>0.39216821309984456</v>
      </c>
      <c r="D2">
        <f>Budget!D37</f>
        <v>78858</v>
      </c>
    </row>
    <row r="3" spans="1:4">
      <c r="A3" t="s">
        <v>44</v>
      </c>
      <c r="C3" s="27">
        <f>(D3/D7)</f>
        <v>0.13917202368306514</v>
      </c>
      <c r="D3">
        <f>Budget!D56</f>
        <v>27985</v>
      </c>
    </row>
    <row r="4" spans="1:4">
      <c r="A4" t="s">
        <v>15</v>
      </c>
      <c r="C4" s="27">
        <f>(D4/D7)</f>
        <v>9.0012993698891514E-2</v>
      </c>
      <c r="D4">
        <f>Budget!D62</f>
        <v>18100</v>
      </c>
    </row>
    <row r="5" spans="1:4">
      <c r="A5" t="s">
        <v>4</v>
      </c>
      <c r="C5" s="27">
        <f>(D5/D7)</f>
        <v>0.19694942483188954</v>
      </c>
      <c r="D5">
        <f>Budget!D66</f>
        <v>39603</v>
      </c>
    </row>
    <row r="7" spans="1:4">
      <c r="C7" s="27">
        <f>SUM(C1:C5)</f>
        <v>1</v>
      </c>
      <c r="D7">
        <f>SUM(D1:D5)</f>
        <v>201082.08000000002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GRAPH</vt:lpstr>
      <vt:lpstr>Budget</vt:lpstr>
      <vt:lpstr>Graph #s</vt:lpstr>
      <vt:lpstr>Budget!Print_Area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Judi Morrison</dc:creator>
  <cp:lastModifiedBy>Judi Morrison</cp:lastModifiedBy>
  <cp:lastPrinted>2024-09-21T15:36:48Z</cp:lastPrinted>
  <dcterms:created xsi:type="dcterms:W3CDTF">2023-04-24T13:20:01Z</dcterms:created>
  <dcterms:modified xsi:type="dcterms:W3CDTF">2025-10-13T16:05:45Z</dcterms:modified>
</cp:coreProperties>
</file>
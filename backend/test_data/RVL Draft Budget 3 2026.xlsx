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Excel_Word Files\Dana McGann\RVL\"/>
    </mc:Choice>
  </mc:AlternateContent>
  <xr:revisionPtr revIDLastSave="0" documentId="13_ncr:1_{144BC073-9B85-40C1-9CEF-BCB24A645204}" xr6:coauthVersionLast="47" xr6:coauthVersionMax="47" xr10:uidLastSave="{00000000-0000-0000-0000-000000000000}"/>
  <bookViews>
    <workbookView xWindow="-120" yWindow="-120" windowWidth="17760" windowHeight="11085" xr2:uid="{00000000-000D-0000-FFFF-FFFF00000000}"/>
  </bookViews>
  <sheets>
    <sheet name="Budg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5" i="3"/>
  <c r="D17" i="3" l="1"/>
  <c r="F44" i="3"/>
  <c r="F17" i="3" s="1"/>
  <c r="F10" i="3" s="1"/>
  <c r="F5" i="3" s="1"/>
  <c r="D44" i="3" l="1"/>
  <c r="D46" i="3" l="1"/>
</calcChain>
</file>

<file path=xl/sharedStrings.xml><?xml version="1.0" encoding="utf-8"?>
<sst xmlns="http://schemas.openxmlformats.org/spreadsheetml/2006/main" count="38" uniqueCount="37">
  <si>
    <t>Assessment Per Lot/Year</t>
  </si>
  <si>
    <t xml:space="preserve"> </t>
  </si>
  <si>
    <t>REVENUES:</t>
  </si>
  <si>
    <t>OPERATING</t>
  </si>
  <si>
    <t xml:space="preserve">   Assessments </t>
  </si>
  <si>
    <t xml:space="preserve">   Special Asmnts </t>
  </si>
  <si>
    <t xml:space="preserve">   Other Income</t>
  </si>
  <si>
    <t xml:space="preserve">   Insurance Claims</t>
  </si>
  <si>
    <t xml:space="preserve">   Interest</t>
  </si>
  <si>
    <t xml:space="preserve">   TOTAL OPERATING</t>
  </si>
  <si>
    <t>EXPENSES FOR THE HOA</t>
  </si>
  <si>
    <t>Operating</t>
  </si>
  <si>
    <t xml:space="preserve">   Electrical - FPL</t>
  </si>
  <si>
    <t xml:space="preserve">   Insurance</t>
  </si>
  <si>
    <t xml:space="preserve">   Management</t>
  </si>
  <si>
    <t xml:space="preserve">   Lawn Care Contract</t>
  </si>
  <si>
    <t xml:space="preserve">   Landscape &amp; Trimming</t>
  </si>
  <si>
    <t xml:space="preserve">   Irrigation System/Repair</t>
  </si>
  <si>
    <t xml:space="preserve">   CPA</t>
  </si>
  <si>
    <t xml:space="preserve">   Bank Charges/Coupons</t>
  </si>
  <si>
    <t xml:space="preserve">   Postage/Printing/Admin</t>
  </si>
  <si>
    <t xml:space="preserve">   Attorneys Fees</t>
  </si>
  <si>
    <t xml:space="preserve">   Annual Corporate Report</t>
  </si>
  <si>
    <t xml:space="preserve">   Contingency Expense</t>
  </si>
  <si>
    <t xml:space="preserve">   Electrical Repair</t>
  </si>
  <si>
    <t xml:space="preserve">   Internet</t>
  </si>
  <si>
    <t xml:space="preserve">   Painting &amp; Paver Sealing</t>
  </si>
  <si>
    <t xml:space="preserve">   Fence Repair</t>
  </si>
  <si>
    <t xml:space="preserve">   Security</t>
  </si>
  <si>
    <t>SURPLUS-Projected</t>
  </si>
  <si>
    <t>***************************************************************************************************************</t>
  </si>
  <si>
    <t xml:space="preserve"> ((a+b)/49 lots)</t>
  </si>
  <si>
    <t xml:space="preserve">   Entry Lighting</t>
  </si>
  <si>
    <t xml:space="preserve">2025 BUDGET </t>
  </si>
  <si>
    <t xml:space="preserve">2026 BUDGET </t>
  </si>
  <si>
    <t>2025 PROJECTED</t>
  </si>
  <si>
    <t xml:space="preserve">   Prior Year Surplus/(Deficit)/CD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</si>
</sst>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39" fontId="2" fillId="0" borderId="0" xfId="0" applyNumberFormat="1" applyFont="1"/>
    <xf numFmtId="39" fontId="3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2" fillId="0" borderId="0" xfId="0" applyNumberFormat="1" applyFont="1"/>
    <xf numFmtId="164" fontId="2" fillId="0" borderId="0" xfId="0" applyNumberFormat="1" applyFont="1"/>
    <xf numFmtId="6" fontId="2" fillId="0" borderId="0" xfId="0" applyNumberFormat="1" applyFont="1"/>
    <xf numFmtId="0" fontId="6" fillId="0" borderId="0" xfId="0" applyFont="1" applyAlignment="1">
      <alignment horizontal="center"/>
    </xf>
    <xf numFmtId="44" fontId="2" fillId="0" borderId="0" xfId="1" applyFont="1"/>
    <xf numFmtId="9" fontId="2" fillId="0" borderId="0" xfId="0" applyNumberFormat="1" applyFont="1"/>
    <xf numFmtId="0" fontId="1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6"/>
  <sheetViews>
    <sheetView tabSelected="1" view="pageLayout" zoomScale="120" zoomScaleNormal="100" zoomScalePageLayoutView="120" workbookViewId="0">
      <selection activeCell="A14" sqref="A14"/>
    </sheetView>
  </sheetViews>
  <sheetFormatPr defaultColWidth="11" defaultRowHeight="14.1" customHeight="1" x14ac:dyDescent="0.2"/>
  <cols>
    <col min="1" max="1" width="24.7109375" style="3" customWidth="1"/>
    <col min="2" max="2" width="16" style="1" customWidth="1"/>
    <col min="3" max="3" width="4.42578125" style="1" customWidth="1"/>
    <col min="4" max="4" width="16.28515625" style="1" customWidth="1"/>
    <col min="5" max="5" width="4.42578125" style="1" customWidth="1"/>
    <col min="6" max="6" width="16" style="1" customWidth="1"/>
    <col min="7" max="7" width="6.42578125" style="1" customWidth="1"/>
    <col min="8" max="16384" width="11" style="1"/>
  </cols>
  <sheetData>
    <row r="2" spans="1:7" s="4" customFormat="1" ht="14.1" customHeight="1" x14ac:dyDescent="0.2">
      <c r="A2" s="2"/>
      <c r="B2" s="5" t="s">
        <v>33</v>
      </c>
      <c r="D2" s="5" t="s">
        <v>35</v>
      </c>
      <c r="F2" s="5" t="s">
        <v>34</v>
      </c>
    </row>
    <row r="3" spans="1:7" ht="19.149999999999999" customHeight="1" x14ac:dyDescent="0.25">
      <c r="A3" s="13"/>
      <c r="B3" s="4"/>
      <c r="D3" s="4"/>
      <c r="F3" s="4"/>
    </row>
    <row r="4" spans="1:7" ht="14.1" customHeight="1" x14ac:dyDescent="0.2">
      <c r="B4" s="4"/>
      <c r="F4" s="4"/>
    </row>
    <row r="5" spans="1:7" ht="14.1" customHeight="1" x14ac:dyDescent="0.2">
      <c r="A5" s="3" t="s">
        <v>0</v>
      </c>
      <c r="B5" s="14">
        <v>2000</v>
      </c>
      <c r="C5" s="10"/>
      <c r="D5" s="11">
        <f>B5</f>
        <v>2000</v>
      </c>
      <c r="E5" s="10"/>
      <c r="F5" s="14">
        <f>ROUNDUP(F10/49,0)</f>
        <v>2300</v>
      </c>
      <c r="G5" s="12"/>
    </row>
    <row r="6" spans="1:7" ht="14.1" customHeight="1" x14ac:dyDescent="0.2">
      <c r="A6" s="16" t="s">
        <v>31</v>
      </c>
      <c r="B6" s="3"/>
      <c r="D6" s="3" t="s">
        <v>1</v>
      </c>
      <c r="F6" s="3"/>
    </row>
    <row r="8" spans="1:7" ht="14.1" customHeight="1" x14ac:dyDescent="0.2">
      <c r="A8" s="2" t="s">
        <v>2</v>
      </c>
    </row>
    <row r="9" spans="1:7" ht="14.1" customHeight="1" x14ac:dyDescent="0.2">
      <c r="A9" s="9" t="s">
        <v>3</v>
      </c>
    </row>
    <row r="10" spans="1:7" ht="14.1" customHeight="1" x14ac:dyDescent="0.2">
      <c r="A10" s="3" t="s">
        <v>4</v>
      </c>
      <c r="B10" s="6">
        <v>98000</v>
      </c>
      <c r="C10" s="3"/>
      <c r="D10" s="6">
        <f>B10</f>
        <v>98000</v>
      </c>
      <c r="E10" s="3"/>
      <c r="F10" s="6">
        <f>F17-F11-F12-F13-F14-F15</f>
        <v>112677</v>
      </c>
      <c r="G10" s="3"/>
    </row>
    <row r="11" spans="1:7" ht="14.1" customHeight="1" x14ac:dyDescent="0.2">
      <c r="A11" s="3" t="s">
        <v>5</v>
      </c>
      <c r="B11" s="6">
        <v>0</v>
      </c>
      <c r="D11" s="6">
        <v>0</v>
      </c>
      <c r="F11" s="6">
        <v>0</v>
      </c>
    </row>
    <row r="12" spans="1:7" ht="14.1" customHeight="1" x14ac:dyDescent="0.2">
      <c r="A12" s="3" t="s">
        <v>6</v>
      </c>
      <c r="B12" s="6">
        <v>0</v>
      </c>
      <c r="D12" s="6">
        <v>0</v>
      </c>
      <c r="F12" s="6">
        <v>0</v>
      </c>
    </row>
    <row r="13" spans="1:7" ht="14.1" customHeight="1" x14ac:dyDescent="0.2">
      <c r="A13" s="16" t="s">
        <v>36</v>
      </c>
      <c r="B13" s="6">
        <v>0</v>
      </c>
      <c r="D13" s="6">
        <v>0</v>
      </c>
      <c r="F13" s="6">
        <v>35500</v>
      </c>
    </row>
    <row r="14" spans="1:7" ht="14.1" customHeight="1" x14ac:dyDescent="0.2">
      <c r="A14" s="3" t="s">
        <v>7</v>
      </c>
      <c r="B14" s="6">
        <v>0</v>
      </c>
      <c r="D14" s="6">
        <v>0</v>
      </c>
      <c r="F14" s="6">
        <v>0</v>
      </c>
    </row>
    <row r="15" spans="1:7" ht="14.1" customHeight="1" x14ac:dyDescent="0.2">
      <c r="A15" s="3" t="s">
        <v>8</v>
      </c>
      <c r="B15" s="6">
        <v>0</v>
      </c>
      <c r="D15" s="6">
        <v>3000</v>
      </c>
      <c r="F15" s="6">
        <v>3000</v>
      </c>
    </row>
    <row r="16" spans="1:7" ht="14.1" customHeight="1" x14ac:dyDescent="0.2">
      <c r="B16" s="6"/>
      <c r="D16" s="6"/>
      <c r="F16" s="6"/>
    </row>
    <row r="17" spans="1:7" s="4" customFormat="1" ht="14.1" customHeight="1" x14ac:dyDescent="0.2">
      <c r="A17" s="2" t="s">
        <v>9</v>
      </c>
      <c r="B17" s="7">
        <v>98000</v>
      </c>
      <c r="D17" s="7">
        <f>SUM(D10:D16)</f>
        <v>101000</v>
      </c>
      <c r="F17" s="7">
        <f>F44</f>
        <v>151177</v>
      </c>
    </row>
    <row r="18" spans="1:7" s="4" customFormat="1" ht="14.1" customHeight="1" x14ac:dyDescent="0.2">
      <c r="A18" s="2"/>
      <c r="B18" s="7"/>
      <c r="D18" s="7"/>
      <c r="F18" s="7"/>
    </row>
    <row r="19" spans="1:7" ht="14.1" customHeight="1" x14ac:dyDescent="0.2">
      <c r="A19" s="3" t="s">
        <v>30</v>
      </c>
      <c r="B19" s="3"/>
      <c r="D19" s="3"/>
      <c r="F19" s="3"/>
    </row>
    <row r="20" spans="1:7" ht="14.1" customHeight="1" x14ac:dyDescent="0.2">
      <c r="B20" s="3"/>
      <c r="D20" s="3"/>
      <c r="F20" s="3"/>
    </row>
    <row r="21" spans="1:7" ht="14.1" customHeight="1" x14ac:dyDescent="0.2">
      <c r="A21" s="8" t="s">
        <v>10</v>
      </c>
    </row>
    <row r="22" spans="1:7" ht="14.1" customHeight="1" x14ac:dyDescent="0.2">
      <c r="A22" s="8"/>
    </row>
    <row r="23" spans="1:7" ht="14.1" customHeight="1" x14ac:dyDescent="0.2">
      <c r="A23" s="9" t="s">
        <v>11</v>
      </c>
    </row>
    <row r="24" spans="1:7" ht="14.1" customHeight="1" x14ac:dyDescent="0.2">
      <c r="A24" s="9"/>
    </row>
    <row r="25" spans="1:7" ht="14.1" customHeight="1" x14ac:dyDescent="0.2">
      <c r="A25" s="3" t="s">
        <v>12</v>
      </c>
      <c r="B25" s="6">
        <v>3300</v>
      </c>
      <c r="D25" s="6">
        <v>2679.02</v>
      </c>
      <c r="F25" s="6">
        <v>3300</v>
      </c>
      <c r="G25" s="15"/>
    </row>
    <row r="26" spans="1:7" ht="14.1" customHeight="1" x14ac:dyDescent="0.2">
      <c r="A26" s="3" t="s">
        <v>13</v>
      </c>
      <c r="B26" s="6">
        <v>5500</v>
      </c>
      <c r="D26" s="6">
        <v>4953.42</v>
      </c>
      <c r="F26" s="6">
        <v>5500</v>
      </c>
      <c r="G26" s="15"/>
    </row>
    <row r="27" spans="1:7" ht="14.1" customHeight="1" x14ac:dyDescent="0.2">
      <c r="A27" s="3" t="s">
        <v>14</v>
      </c>
      <c r="B27" s="6">
        <v>9600</v>
      </c>
      <c r="D27" s="6">
        <v>9600</v>
      </c>
      <c r="F27" s="6">
        <v>10080</v>
      </c>
      <c r="G27" s="15"/>
    </row>
    <row r="28" spans="1:7" ht="14.1" customHeight="1" x14ac:dyDescent="0.2">
      <c r="A28" s="3" t="s">
        <v>15</v>
      </c>
      <c r="B28" s="6">
        <v>35400</v>
      </c>
      <c r="D28" s="6">
        <v>33840</v>
      </c>
      <c r="F28" s="6">
        <v>35400</v>
      </c>
      <c r="G28" s="15"/>
    </row>
    <row r="29" spans="1:7" ht="14.1" customHeight="1" x14ac:dyDescent="0.2">
      <c r="A29" s="3" t="s">
        <v>16</v>
      </c>
      <c r="B29" s="6">
        <v>4400</v>
      </c>
      <c r="D29" s="6">
        <v>10373</v>
      </c>
      <c r="F29" s="6">
        <v>17500</v>
      </c>
    </row>
    <row r="30" spans="1:7" ht="14.1" customHeight="1" x14ac:dyDescent="0.2">
      <c r="A30" s="3" t="s">
        <v>17</v>
      </c>
      <c r="B30" s="6">
        <v>1000</v>
      </c>
      <c r="D30" s="6">
        <v>3680</v>
      </c>
      <c r="F30" s="6">
        <v>3600</v>
      </c>
    </row>
    <row r="31" spans="1:7" ht="14.1" customHeight="1" x14ac:dyDescent="0.2">
      <c r="A31" s="3" t="s">
        <v>18</v>
      </c>
      <c r="B31" s="6">
        <v>410</v>
      </c>
      <c r="D31" s="6">
        <v>215</v>
      </c>
      <c r="F31" s="6">
        <v>215</v>
      </c>
    </row>
    <row r="32" spans="1:7" ht="14.1" customHeight="1" x14ac:dyDescent="0.2">
      <c r="A32" s="3" t="s">
        <v>19</v>
      </c>
      <c r="B32" s="6">
        <v>170</v>
      </c>
      <c r="D32" s="6">
        <v>170</v>
      </c>
      <c r="F32" s="6">
        <v>170</v>
      </c>
    </row>
    <row r="33" spans="1:6" ht="14.1" customHeight="1" x14ac:dyDescent="0.2">
      <c r="A33" s="3" t="s">
        <v>20</v>
      </c>
      <c r="B33" s="6">
        <v>400</v>
      </c>
      <c r="D33" s="6">
        <v>100</v>
      </c>
      <c r="F33" s="6">
        <v>200</v>
      </c>
    </row>
    <row r="34" spans="1:6" ht="14.1" customHeight="1" x14ac:dyDescent="0.2">
      <c r="A34" s="3" t="s">
        <v>21</v>
      </c>
      <c r="B34" s="6">
        <v>8400</v>
      </c>
      <c r="D34" s="6">
        <v>5814</v>
      </c>
      <c r="F34" s="6">
        <v>30000</v>
      </c>
    </row>
    <row r="35" spans="1:6" ht="14.1" customHeight="1" x14ac:dyDescent="0.2">
      <c r="A35" s="3" t="s">
        <v>22</v>
      </c>
      <c r="B35" s="6">
        <v>62</v>
      </c>
      <c r="D35" s="6">
        <v>62</v>
      </c>
      <c r="F35" s="6">
        <v>62</v>
      </c>
    </row>
    <row r="36" spans="1:6" ht="14.1" customHeight="1" x14ac:dyDescent="0.2">
      <c r="A36" s="3" t="s">
        <v>23</v>
      </c>
      <c r="B36" s="6">
        <v>2000</v>
      </c>
      <c r="D36" s="6">
        <v>200</v>
      </c>
      <c r="F36" s="6">
        <v>2000</v>
      </c>
    </row>
    <row r="37" spans="1:6" ht="14.1" customHeight="1" x14ac:dyDescent="0.2">
      <c r="A37" s="16" t="s">
        <v>32</v>
      </c>
      <c r="B37" s="6">
        <v>0</v>
      </c>
      <c r="D37" s="6">
        <v>0</v>
      </c>
      <c r="F37" s="6">
        <v>0</v>
      </c>
    </row>
    <row r="38" spans="1:6" ht="14.1" customHeight="1" x14ac:dyDescent="0.2">
      <c r="A38" s="3" t="s">
        <v>24</v>
      </c>
      <c r="B38" s="6">
        <v>2838</v>
      </c>
      <c r="D38" s="6">
        <v>3800</v>
      </c>
      <c r="F38" s="6">
        <v>3800</v>
      </c>
    </row>
    <row r="39" spans="1:6" ht="14.1" customHeight="1" x14ac:dyDescent="0.2">
      <c r="A39" s="3" t="s">
        <v>25</v>
      </c>
      <c r="B39" s="6">
        <v>17670</v>
      </c>
      <c r="D39" s="6">
        <v>18916</v>
      </c>
      <c r="F39" s="6">
        <v>19500</v>
      </c>
    </row>
    <row r="40" spans="1:6" ht="14.1" customHeight="1" x14ac:dyDescent="0.2">
      <c r="A40" s="3" t="s">
        <v>26</v>
      </c>
      <c r="B40" s="6">
        <v>4150</v>
      </c>
      <c r="D40" s="6">
        <v>0</v>
      </c>
      <c r="F40" s="6">
        <v>4150</v>
      </c>
    </row>
    <row r="41" spans="1:6" ht="14.1" customHeight="1" x14ac:dyDescent="0.2">
      <c r="A41" s="3" t="s">
        <v>27</v>
      </c>
      <c r="B41" s="6">
        <v>2000</v>
      </c>
      <c r="D41" s="6">
        <v>0</v>
      </c>
      <c r="F41" s="6">
        <v>15000</v>
      </c>
    </row>
    <row r="42" spans="1:6" ht="14.1" customHeight="1" x14ac:dyDescent="0.2">
      <c r="A42" s="3" t="s">
        <v>28</v>
      </c>
      <c r="B42" s="6">
        <v>700</v>
      </c>
      <c r="D42" s="6">
        <v>0</v>
      </c>
      <c r="F42" s="6">
        <v>700</v>
      </c>
    </row>
    <row r="43" spans="1:6" ht="14.1" customHeight="1" x14ac:dyDescent="0.2">
      <c r="B43" s="6"/>
      <c r="D43" s="6"/>
      <c r="F43" s="6"/>
    </row>
    <row r="44" spans="1:6" s="4" customFormat="1" ht="14.1" customHeight="1" x14ac:dyDescent="0.2">
      <c r="A44" s="2" t="s">
        <v>9</v>
      </c>
      <c r="B44" s="7">
        <v>98000</v>
      </c>
      <c r="D44" s="7">
        <f>SUM(D25:D43)</f>
        <v>94402.44</v>
      </c>
      <c r="F44" s="7">
        <f>SUM(F25:F42)</f>
        <v>151177</v>
      </c>
    </row>
    <row r="45" spans="1:6" ht="14.1" customHeight="1" x14ac:dyDescent="0.2">
      <c r="B45" s="6"/>
      <c r="D45" s="6"/>
      <c r="F45" s="6"/>
    </row>
    <row r="46" spans="1:6" ht="14.1" customHeight="1" x14ac:dyDescent="0.2">
      <c r="A46" s="9" t="s">
        <v>29</v>
      </c>
      <c r="B46" s="6"/>
      <c r="D46" s="6">
        <f>SUM(D17-D44)</f>
        <v>6597.5599999999977</v>
      </c>
      <c r="F46" s="6"/>
    </row>
  </sheetData>
  <phoneticPr fontId="0" type="noConversion"/>
  <pageMargins left="0.75" right="0.75" top="1.28125" bottom="0.75" header="0.5" footer="0.5"/>
  <pageSetup orientation="portrait" r:id="rId1"/>
  <headerFooter alignWithMargins="0">
    <oddHeader>&amp;C&amp;"Arial,Bold"&amp;12RIVERVIEW LANDINGS HOA
 2026  OPERATING BUDGET &amp;"Arial,Regular"&amp;10&amp;K000000
January 1, 2026 to December 31, 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Brown</dc:creator>
  <cp:keywords/>
  <dc:description/>
  <cp:lastModifiedBy>Dana Cloer</cp:lastModifiedBy>
  <cp:revision/>
  <dcterms:created xsi:type="dcterms:W3CDTF">2003-07-20T15:03:09Z</dcterms:created>
  <dcterms:modified xsi:type="dcterms:W3CDTF">2025-09-29T17:14:55Z</dcterms:modified>
  <cp:category/>
  <cp:contentStatus/>
</cp:coreProperties>
</file>